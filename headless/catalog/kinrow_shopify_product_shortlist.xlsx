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71b05be3c5a4a5f" /></Relationships>
</file>

<file path=xl/workbook.xml><?xml version="1.0" encoding="utf-8"?>
<x:workbook xmlns:x="http://schemas.openxmlformats.org/spreadsheetml/2006/main">
  <x:sheets>
    <x:sheet xmlns:r="http://schemas.openxmlformats.org/officeDocument/2006/relationships" name="Executive Summary" sheetId="1" r:id="Rc9dc1f7a9f2c417b"/>
    <x:sheet xmlns:r="http://schemas.openxmlformats.org/officeDocument/2006/relationships" name="Product Shortlist" sheetId="2" r:id="Rfe2d2bdaa77947c3"/>
    <x:sheet xmlns:r="http://schemas.openxmlformats.org/officeDocument/2006/relationships" name="Shopify Draft CSV" sheetId="3" r:id="R1aa39d9ae4bc4c6d"/>
    <x:sheet xmlns:r="http://schemas.openxmlformats.org/officeDocument/2006/relationships" name="Import Instructions" sheetId="4" r:id="Rd63406c364be4270"/>
    <x:sheet xmlns:r="http://schemas.openxmlformats.org/officeDocument/2006/relationships" name="Sources" sheetId="5" r:id="R2aba73936ccf4eeb"/>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
    <x:numFmt numFmtId="201" formatCode="0.0%"/>
    <x:numFmt numFmtId="202" formatCode="$0.00"/>
    <x:numFmt numFmtId="203" formatCode="0.0"/>
    <x:numFmt numFmtId="204" formatCode="0.00"/>
    <x:numFmt numFmtId="205" formatCode="$#,##0.00"/>
  </x:numFmts>
  <x:fonts count="19">
    <x:font>
      <x:sz val="11"/>
      <x:name val="Carlito"/>
    </x:font>
    <x:font>
      <x:b/>
      <x:sz val="22"/>
      <x:color rgb="FFFFFFFF"/>
      <x:name val="Carlito"/>
    </x:font>
    <x:font>
      <x:i/>
      <x:sz val="10"/>
      <x:color rgb="FF1D211D"/>
      <x:name val="Carlito"/>
    </x:font>
    <x:font>
      <x:b/>
      <x:sz val="10"/>
      <x:color rgb="FFFFFFFF"/>
      <x:name val="Carlito"/>
    </x:font>
    <x:font>
      <x:b/>
      <x:sz val="15"/>
      <x:name val="Carlito"/>
    </x:font>
    <x:font>
      <x:b/>
      <x:sz val="11"/>
      <x:color rgb="FF2D5A36"/>
      <x:name val="Carlito"/>
    </x:font>
    <x:font>
      <x:sz val="10"/>
      <x:color rgb="FF1D211D"/>
      <x:name val="Carlito"/>
    </x:font>
    <x:font>
      <x:b/>
      <x:sz val="22"/>
      <x:color rgb="FFFFFFFF"/>
      <x:name val="Aptos"/>
    </x:font>
    <x:font>
      <x:i/>
      <x:sz val="10"/>
      <x:color rgb="FF1D211D"/>
      <x:name val="Aptos"/>
    </x:font>
    <x:font>
      <x:sz val="11"/>
      <x:name val="Aptos"/>
    </x:font>
    <x:font>
      <x:b/>
      <x:sz val="10"/>
      <x:color rgb="FFFFFFFF"/>
      <x:name val="Aptos"/>
    </x:font>
    <x:font>
      <x:b/>
      <x:sz val="15"/>
      <x:name val="Aptos"/>
    </x:font>
    <x:font>
      <x:b/>
      <x:sz val="11"/>
      <x:color rgb="FF2D5A36"/>
      <x:name val="Aptos"/>
    </x:font>
    <x:font>
      <x:sz val="10"/>
      <x:color rgb="FF1D211D"/>
      <x:name val="Aptos"/>
    </x:font>
    <x:font>
      <x:b/>
      <x:sz val="20"/>
      <x:color rgb="FFFFFFFF"/>
      <x:name val="Aptos"/>
    </x:font>
    <x:font>
      <x:i/>
      <x:sz val="11"/>
      <x:name val="Carlito"/>
    </x:font>
    <x:font>
      <x:i/>
      <x:sz val="11"/>
      <x:name val="Aptos"/>
    </x:font>
    <x:font>
      <x:b/>
      <x:sz val="11"/>
      <x:color rgb="FF8E342B"/>
      <x:name val="Carlito"/>
    </x:font>
    <x:font>
      <x:b/>
      <x:sz val="11"/>
      <x:color rgb="FF8E342B"/>
      <x:name val="Aptos"/>
    </x:font>
  </x:fonts>
  <x:fills count="9">
    <x:fill>
      <x:patternFill patternType="none"/>
    </x:fill>
    <x:fill>
      <x:patternFill patternType="gray125"/>
    </x:fill>
    <x:fill>
      <x:patternFill patternType="solid">
        <x:fgColor rgb="FF1D211D"/>
      </x:patternFill>
    </x:fill>
    <x:fill>
      <x:patternFill patternType="solid">
        <x:fgColor rgb="FFF7F3EA"/>
      </x:patternFill>
    </x:fill>
    <x:fill>
      <x:patternFill patternType="solid">
        <x:fgColor rgb="FFFFFDF8"/>
      </x:patternFill>
    </x:fill>
    <x:fill>
      <x:patternFill patternType="solid">
        <x:fgColor rgb="FFFFF2C7"/>
      </x:patternFill>
    </x:fill>
    <x:fill>
      <x:patternFill patternType="solid">
        <x:fgColor rgb="FFDDE7D8"/>
      </x:patternFill>
    </x:fill>
    <x:fill>
      <x:patternFill patternType="solid">
        <x:fgColor rgb="FFE8D9BD"/>
      </x:patternFill>
    </x:fill>
    <x:fill>
      <x:patternFill patternType="solid">
        <x:fgColor rgb="FFF3D9D5"/>
      </x:patternFill>
    </x:fill>
  </x:fills>
  <x:borders count="24">
    <x:border/>
    <x:border>
      <x:right style="thin">
        <x:color rgb="FFD7D3C9"/>
      </x:right>
      <x:bottom style="thin">
        <x:color rgb="FFD7D3C9"/>
      </x:bottom>
    </x:border>
    <x:border>
      <x:left style="thin">
        <x:color rgb="FFD7D3C9"/>
      </x:left>
      <x:bottom style="thin">
        <x:color rgb="FFD7D3C9"/>
      </x:bottom>
    </x:border>
    <x:border>
      <x:right style="thin">
        <x:color rgb="FFD7D3C9"/>
      </x:right>
      <x:top style="thin">
        <x:color rgb="FFD7D3C9"/>
      </x:top>
      <x:bottom style="thin">
        <x:color rgb="FFD7D3C9"/>
      </x:bottom>
    </x:border>
    <x:border>
      <x:left style="thin">
        <x:color rgb="FFD7D3C9"/>
      </x:left>
      <x:top style="thin">
        <x:color rgb="FFD7D3C9"/>
      </x:top>
      <x:bottom style="thin">
        <x:color rgb="FFD7D3C9"/>
      </x:bottom>
    </x:border>
    <x:border>
      <x:right style="thin">
        <x:color rgb="FFD7D3C9"/>
      </x:right>
      <x:top style="thin">
        <x:color rgb="FFD7D3C9"/>
      </x:top>
    </x:border>
    <x:border>
      <x:left style="thin">
        <x:color rgb="FFD7D3C9"/>
      </x:left>
      <x:top style="thin">
        <x:color rgb="FFD7D3C9"/>
      </x:top>
    </x:border>
    <x:border>
      <x:right style="thin">
        <x:color rgb="FFDDD8CE"/>
      </x:right>
      <x:bottom style="thin">
        <x:color rgb="FFDDD8CE"/>
      </x:bottom>
    </x:border>
    <x:border>
      <x:left style="thin">
        <x:color rgb="FFDDD8CE"/>
      </x:left>
      <x:right style="thin">
        <x:color rgb="FFDDD8CE"/>
      </x:right>
      <x:bottom style="thin">
        <x:color rgb="FFDDD8CE"/>
      </x:bottom>
    </x:border>
    <x:border>
      <x:left style="thin">
        <x:color rgb="FFDDD8CE"/>
      </x:left>
      <x:bottom style="thin">
        <x:color rgb="FFDDD8CE"/>
      </x:bottom>
    </x:border>
    <x:border>
      <x:right style="thin">
        <x:color rgb="FFDDD8CE"/>
      </x:right>
      <x:top style="thin">
        <x:color rgb="FFDDD8CE"/>
      </x:top>
      <x:bottom style="thin">
        <x:color rgb="FFDDD8CE"/>
      </x:bottom>
    </x:border>
    <x:border>
      <x:left style="thin">
        <x:color rgb="FFDDD8CE"/>
      </x:left>
      <x:right style="thin">
        <x:color rgb="FFDDD8CE"/>
      </x:right>
      <x:top style="thin">
        <x:color rgb="FFDDD8CE"/>
      </x:top>
      <x:bottom style="thin">
        <x:color rgb="FFDDD8CE"/>
      </x:bottom>
    </x:border>
    <x:border>
      <x:left style="thin">
        <x:color rgb="FFDDD8CE"/>
      </x:left>
      <x:top style="thin">
        <x:color rgb="FFDDD8CE"/>
      </x:top>
      <x:bottom style="thin">
        <x:color rgb="FFDDD8CE"/>
      </x:bottom>
    </x:border>
    <x:border>
      <x:right style="thin">
        <x:color rgb="FFDDD8CE"/>
      </x:right>
      <x:top style="thin">
        <x:color rgb="FFDDD8CE"/>
      </x:top>
    </x:border>
    <x:border>
      <x:left style="thin">
        <x:color rgb="FFDDD8CE"/>
      </x:left>
      <x:right style="thin">
        <x:color rgb="FFDDD8CE"/>
      </x:right>
      <x:top style="thin">
        <x:color rgb="FFDDD8CE"/>
      </x:top>
    </x:border>
    <x:border>
      <x:left style="thin">
        <x:color rgb="FFDDD8CE"/>
      </x:left>
      <x:top style="thin">
        <x:color rgb="FFDDD8CE"/>
      </x:top>
    </x:border>
    <x:border>
      <x:left style="thin">
        <x:color rgb="FFE8D9BD"/>
      </x:left>
      <x:top style="thin">
        <x:color rgb="FFE8D9BD"/>
      </x:top>
    </x:border>
    <x:border>
      <x:top style="thin">
        <x:color rgb="FFE8D9BD"/>
      </x:top>
    </x:border>
    <x:border>
      <x:right style="thin">
        <x:color rgb="FFE8D9BD"/>
      </x:right>
      <x:top style="thin">
        <x:color rgb="FFE8D9BD"/>
      </x:top>
    </x:border>
    <x:border>
      <x:left style="thin">
        <x:color rgb="FFE8D9BD"/>
      </x:left>
    </x:border>
    <x:border>
      <x:right style="thin">
        <x:color rgb="FFE8D9BD"/>
      </x:right>
    </x:border>
    <x:border>
      <x:left style="thin">
        <x:color rgb="FFE8D9BD"/>
      </x:left>
      <x:bottom style="thin">
        <x:color rgb="FFE8D9BD"/>
      </x:bottom>
    </x:border>
    <x:border>
      <x:bottom style="thin">
        <x:color rgb="FFE8D9BD"/>
      </x:bottom>
    </x:border>
    <x:border>
      <x:right style="thin">
        <x:color rgb="FFE8D9BD"/>
      </x:right>
      <x:bottom style="thin">
        <x:color rgb="FFE8D9BD"/>
      </x:bottom>
    </x:border>
  </x:borders>
  <x:cellStyleXfs count="1">
    <x:xf numFmtId="0" fontId="0" fillId="0" borderId="0"/>
  </x:cellStyleXfs>
  <x:cellXfs count="26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0" fillId="4" borderId="0" xfId="0" applyNumberFormat="1" applyFont="1" applyFill="1" applyBorder="1"/>
    <x:xf numFmtId="0" fontId="0" fillId="4" borderId="1" xfId="0" applyNumberFormat="1" applyFont="1" applyFill="1" applyBorder="1"/>
    <x:xf numFmtId="0" fontId="0" fillId="4" borderId="2" xfId="0" applyNumberFormat="1" applyFont="1" applyFill="1" applyBorder="1"/>
    <x:xf numFmtId="0" fontId="0" fillId="4" borderId="3" xfId="0" applyNumberFormat="1" applyFont="1" applyFill="1" applyBorder="1"/>
    <x:xf numFmtId="0" fontId="0" fillId="4" borderId="4" xfId="0" applyNumberFormat="1" applyFont="1" applyFill="1" applyBorder="1"/>
    <x:xf numFmtId="0" fontId="0" fillId="4" borderId="5" xfId="0" applyNumberFormat="1" applyFont="1" applyFill="1" applyBorder="1"/>
    <x:xf numFmtId="0" fontId="0" fillId="4" borderId="6" xfId="0" applyNumberFormat="1" applyFont="1" applyFill="1" applyBorder="1"/>
    <x:xf numFmtId="0" fontId="4" fillId="4" borderId="2" xfId="0" applyNumberFormat="1" applyFont="1" applyFill="1" applyBorder="1"/>
    <x:xf numFmtId="0" fontId="4" fillId="4" borderId="4" xfId="0" applyNumberFormat="1" applyFont="1" applyFill="1" applyBorder="1"/>
    <x:xf numFmtId="0" fontId="4" fillId="4" borderId="6" xfId="0" applyNumberFormat="1" applyFont="1" applyFill="1" applyBorder="1"/>
    <x:xf numFmtId="200" fontId="4" fillId="4" borderId="2" xfId="0" applyNumberFormat="1" applyFont="1" applyFill="1" applyBorder="1"/>
    <x:xf numFmtId="200" fontId="4" fillId="4" borderId="4" xfId="0" applyNumberFormat="1" applyFont="1" applyFill="1" applyBorder="1"/>
    <x:xf numFmtId="200" fontId="4" fillId="4" borderId="6" xfId="0" applyNumberFormat="1" applyFont="1" applyFill="1" applyBorder="1"/>
    <x:xf numFmtId="200" fontId="4" fillId="4" borderId="2" xfId="0" applyNumberFormat="1" applyFont="1" applyFill="1" applyBorder="1" applyAlignment="1">
      <x:alignment horizontal="center"/>
    </x:xf>
    <x:xf numFmtId="200" fontId="4" fillId="4" borderId="4" xfId="0" applyNumberFormat="1" applyFont="1" applyFill="1" applyBorder="1" applyAlignment="1">
      <x:alignment horizontal="center"/>
    </x:xf>
    <x:xf numFmtId="200" fontId="4" fillId="4" borderId="6" xfId="0" applyNumberFormat="1" applyFont="1" applyFill="1" applyBorder="1" applyAlignment="1">
      <x:alignment horizontal="center"/>
    </x:xf>
    <x:xf numFmtId="0" fontId="0" fillId="5" borderId="0" xfId="0" applyNumberFormat="1" applyFont="1" applyFill="1" applyBorder="1"/>
    <x:xf numFmtId="201" fontId="0" fillId="5" borderId="0" xfId="0" applyNumberFormat="1" applyFont="1" applyFill="1" applyBorder="1"/>
    <x:xf numFmtId="202" fontId="0" fillId="5" borderId="0" xfId="0" applyNumberFormat="1" applyFont="1" applyFill="1" applyBorder="1"/>
    <x:xf numFmtId="203" fontId="0" fillId="5" borderId="0" xfId="0" applyNumberFormat="1" applyFont="1" applyFill="1" applyBorder="1"/>
    <x:xf numFmtId="0" fontId="0" fillId="0" borderId="0" xfId="0" applyNumberFormat="1" applyFont="1" applyFill="1" applyBorder="1" applyAlignment="1">
      <x:alignment wrapText="1"/>
    </x:xf>
    <x:xf numFmtId="201" fontId="0" fillId="5" borderId="0" xfId="0" applyNumberFormat="1" applyFont="1" applyFill="1" applyBorder="1" applyAlignment="1">
      <x:alignment wrapText="1"/>
    </x:xf>
    <x:xf numFmtId="202" fontId="0" fillId="5" borderId="0" xfId="0" applyNumberFormat="1" applyFont="1" applyFill="1" applyBorder="1" applyAlignment="1">
      <x:alignment wrapText="1"/>
    </x:xf>
    <x:xf numFmtId="0" fontId="0" fillId="5" borderId="0" xfId="0" applyNumberFormat="1" applyFont="1" applyFill="1" applyBorder="1" applyAlignment="1">
      <x:alignment wrapText="1"/>
    </x:xf>
    <x:xf numFmtId="203" fontId="0" fillId="5" borderId="0" xfId="0" applyNumberFormat="1" applyFont="1" applyFill="1" applyBorder="1" applyAlignment="1">
      <x:alignment wrapText="1"/>
    </x:xf>
    <x:xf numFmtId="0" fontId="0" fillId="0" borderId="7" xfId="0" applyNumberFormat="1" applyFont="1" applyFill="1" applyBorder="1" applyAlignment="1">
      <x:alignment wrapText="1"/>
    </x:xf>
    <x:xf numFmtId="201" fontId="0" fillId="5"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202" fontId="0" fillId="5" borderId="11" xfId="0" applyNumberFormat="1" applyFont="1" applyFill="1" applyBorder="1" applyAlignment="1">
      <x:alignment wrapText="1"/>
    </x:xf>
    <x:xf numFmtId="0" fontId="0" fillId="0" borderId="12" xfId="0" applyNumberFormat="1" applyFont="1" applyFill="1" applyBorder="1" applyAlignment="1">
      <x:alignment wrapText="1"/>
    </x:xf>
    <x:xf numFmtId="201" fontId="0" fillId="5" borderId="11" xfId="0" applyNumberFormat="1" applyFont="1" applyFill="1" applyBorder="1" applyAlignment="1">
      <x:alignment wrapText="1"/>
    </x:xf>
    <x:xf numFmtId="0" fontId="0" fillId="5" borderId="11" xfId="0" applyNumberFormat="1" applyFont="1" applyFill="1" applyBorder="1" applyAlignment="1">
      <x:alignment wrapText="1"/>
    </x:xf>
    <x:xf numFmtId="203" fontId="0" fillId="5" borderId="11" xfId="0" applyNumberFormat="1" applyFont="1" applyFill="1" applyBorder="1" applyAlignment="1">
      <x:alignment wrapText="1"/>
    </x:xf>
    <x:xf numFmtId="0" fontId="0" fillId="0" borderId="13" xfId="0" applyNumberFormat="1" applyFont="1" applyFill="1" applyBorder="1" applyAlignment="1">
      <x:alignment wrapText="1"/>
    </x:xf>
    <x:xf numFmtId="201" fontId="0" fillId="5"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4" borderId="7" xfId="0" applyNumberFormat="1" applyFont="1" applyFill="1" applyBorder="1"/>
    <x:xf numFmtId="0" fontId="0" fillId="4" borderId="8" xfId="0" applyNumberFormat="1" applyFont="1" applyFill="1" applyBorder="1"/>
    <x:xf numFmtId="0" fontId="0" fillId="4" borderId="9" xfId="0" applyNumberFormat="1" applyFont="1" applyFill="1" applyBorder="1"/>
    <x:xf numFmtId="0" fontId="0" fillId="4" borderId="10" xfId="0" applyNumberFormat="1" applyFont="1" applyFill="1" applyBorder="1"/>
    <x:xf numFmtId="0" fontId="0" fillId="4" borderId="11" xfId="0" applyNumberFormat="1" applyFont="1" applyFill="1" applyBorder="1"/>
    <x:xf numFmtId="0" fontId="0" fillId="4" borderId="12" xfId="0" applyNumberFormat="1" applyFont="1" applyFill="1" applyBorder="1"/>
    <x:xf numFmtId="0" fontId="0" fillId="4" borderId="13" xfId="0" applyNumberFormat="1" applyFont="1" applyFill="1" applyBorder="1"/>
    <x:xf numFmtId="0" fontId="0" fillId="4" borderId="14" xfId="0" applyNumberFormat="1" applyFont="1" applyFill="1" applyBorder="1"/>
    <x:xf numFmtId="0" fontId="0" fillId="4" borderId="15" xfId="0" applyNumberFormat="1" applyFont="1" applyFill="1" applyBorder="1"/>
    <x:xf numFmtId="204" fontId="0" fillId="4" borderId="9" xfId="0" applyNumberFormat="1" applyFont="1" applyFill="1" applyBorder="1"/>
    <x:xf numFmtId="204" fontId="0" fillId="4" borderId="12" xfId="0" applyNumberFormat="1" applyFont="1" applyFill="1" applyBorder="1"/>
    <x:xf numFmtId="204" fontId="0" fillId="4" borderId="15" xfId="0" applyNumberFormat="1" applyFont="1" applyFill="1" applyBorder="1"/>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6" fillId="3" borderId="0" xfId="0" applyNumberFormat="1" applyFont="1" applyFill="1" applyBorder="1"/>
    <x:xf numFmtId="0" fontId="6" fillId="3" borderId="16" xfId="0" applyNumberFormat="1" applyFont="1" applyFill="1" applyBorder="1"/>
    <x:xf numFmtId="0" fontId="6" fillId="3" borderId="17" xfId="0" applyNumberFormat="1" applyFont="1" applyFill="1" applyBorder="1"/>
    <x:xf numFmtId="0" fontId="6" fillId="3" borderId="18" xfId="0" applyNumberFormat="1" applyFont="1" applyFill="1" applyBorder="1"/>
    <x:xf numFmtId="0" fontId="6" fillId="3" borderId="19" xfId="0" applyNumberFormat="1" applyFont="1" applyFill="1" applyBorder="1"/>
    <x:xf numFmtId="0" fontId="6" fillId="3" borderId="20" xfId="0" applyNumberFormat="1" applyFont="1" applyFill="1" applyBorder="1"/>
    <x:xf numFmtId="0" fontId="6" fillId="3" borderId="21" xfId="0" applyNumberFormat="1" applyFont="1" applyFill="1" applyBorder="1"/>
    <x:xf numFmtId="0" fontId="6" fillId="3" borderId="22" xfId="0" applyNumberFormat="1" applyFont="1" applyFill="1" applyBorder="1"/>
    <x:xf numFmtId="0" fontId="6" fillId="3" borderId="23" xfId="0" applyNumberFormat="1" applyFont="1" applyFill="1" applyBorder="1"/>
    <x:xf numFmtId="0" fontId="6" fillId="3" borderId="16" xfId="0" applyNumberFormat="1" applyFont="1" applyFill="1" applyBorder="1" applyAlignment="1">
      <x:alignment wrapText="1"/>
    </x:xf>
    <x:xf numFmtId="0" fontId="6" fillId="3" borderId="17" xfId="0" applyNumberFormat="1" applyFont="1" applyFill="1" applyBorder="1" applyAlignment="1">
      <x:alignment wrapText="1"/>
    </x:xf>
    <x:xf numFmtId="0" fontId="6" fillId="3" borderId="18" xfId="0" applyNumberFormat="1" applyFont="1" applyFill="1" applyBorder="1" applyAlignment="1">
      <x:alignment wrapText="1"/>
    </x:xf>
    <x:xf numFmtId="0" fontId="6" fillId="3" borderId="19" xfId="0" applyNumberFormat="1" applyFont="1" applyFill="1" applyBorder="1" applyAlignment="1">
      <x:alignment wrapText="1"/>
    </x:xf>
    <x:xf numFmtId="0" fontId="6" fillId="3" borderId="0" xfId="0" applyNumberFormat="1" applyFont="1" applyFill="1" applyBorder="1" applyAlignment="1">
      <x:alignment wrapText="1"/>
    </x:xf>
    <x:xf numFmtId="0" fontId="6" fillId="3" borderId="20" xfId="0" applyNumberFormat="1" applyFont="1" applyFill="1" applyBorder="1" applyAlignment="1">
      <x:alignment wrapText="1"/>
    </x:xf>
    <x:xf numFmtId="0" fontId="6" fillId="3" borderId="21" xfId="0" applyNumberFormat="1" applyFont="1" applyFill="1" applyBorder="1" applyAlignment="1">
      <x:alignment wrapText="1"/>
    </x:xf>
    <x:xf numFmtId="0" fontId="6" fillId="3" borderId="22" xfId="0" applyNumberFormat="1" applyFont="1" applyFill="1" applyBorder="1" applyAlignment="1">
      <x:alignment wrapText="1"/>
    </x:xf>
    <x:xf numFmtId="0" fontId="6" fillId="3" borderId="23" xfId="0" applyNumberFormat="1" applyFont="1" applyFill="1" applyBorder="1" applyAlignment="1">
      <x:alignment wrapText="1"/>
    </x:xf>
    <x:xf numFmtId="0" fontId="6" fillId="3" borderId="16" xfId="0" applyNumberFormat="1" applyFont="1" applyFill="1" applyBorder="1" applyAlignment="1">
      <x:alignment vertical="center" wrapText="1"/>
    </x:xf>
    <x:xf numFmtId="0" fontId="6" fillId="3" borderId="17" xfId="0" applyNumberFormat="1" applyFont="1" applyFill="1" applyBorder="1" applyAlignment="1">
      <x:alignment vertical="center" wrapText="1"/>
    </x:xf>
    <x:xf numFmtId="0" fontId="6" fillId="3" borderId="18" xfId="0" applyNumberFormat="1" applyFont="1" applyFill="1" applyBorder="1" applyAlignment="1">
      <x:alignment vertical="center" wrapText="1"/>
    </x:xf>
    <x:xf numFmtId="0" fontId="6" fillId="3" borderId="19" xfId="0" applyNumberFormat="1" applyFont="1" applyFill="1" applyBorder="1" applyAlignment="1">
      <x:alignment vertical="center" wrapText="1"/>
    </x:xf>
    <x:xf numFmtId="0" fontId="6" fillId="3" borderId="0" xfId="0" applyNumberFormat="1" applyFont="1" applyFill="1" applyBorder="1" applyAlignment="1">
      <x:alignment vertical="center" wrapText="1"/>
    </x:xf>
    <x:xf numFmtId="0" fontId="6" fillId="3" borderId="20" xfId="0" applyNumberFormat="1" applyFont="1" applyFill="1" applyBorder="1" applyAlignment="1">
      <x:alignment vertical="center" wrapText="1"/>
    </x:xf>
    <x:xf numFmtId="0" fontId="6" fillId="3" borderId="21" xfId="0" applyNumberFormat="1" applyFont="1" applyFill="1" applyBorder="1" applyAlignment="1">
      <x:alignment vertical="center" wrapText="1"/>
    </x:xf>
    <x:xf numFmtId="0" fontId="6" fillId="3" borderId="22" xfId="0" applyNumberFormat="1" applyFont="1" applyFill="1" applyBorder="1" applyAlignment="1">
      <x:alignment vertical="center" wrapText="1"/>
    </x:xf>
    <x:xf numFmtId="0" fontId="6" fillId="3" borderId="23" xfId="0" applyNumberFormat="1" applyFont="1" applyFill="1" applyBorder="1" applyAlignment="1">
      <x:alignment vertical="center" wrapText="1"/>
    </x:xf>
    <x:xf numFmtId="0" fontId="7" fillId="2" borderId="0" xfId="0" applyNumberFormat="1" applyFont="1" applyFill="1" applyBorder="1" applyAlignment="1">
      <x:alignment vertical="center"/>
    </x:xf>
    <x:xf numFmtId="0" fontId="8" fillId="3" borderId="0" xfId="0" applyNumberFormat="1" applyFont="1" applyFill="1" applyBorder="1" applyAlignment="1">
      <x:alignment wrapText="1"/>
    </x:xf>
    <x:xf numFmtId="0" fontId="9" fillId="0" borderId="0" xfId="0" applyNumberFormat="1" applyFont="1" applyFill="1" applyBorder="1"/>
    <x:xf numFmtId="0" fontId="10" fillId="2" borderId="0" xfId="0" applyNumberFormat="1" applyFont="1" applyFill="1" applyBorder="1" applyAlignment="1">
      <x:alignment vertical="center" wrapText="1"/>
    </x:xf>
    <x:xf numFmtId="0" fontId="9" fillId="4" borderId="1" xfId="0" applyNumberFormat="1" applyFont="1" applyFill="1" applyBorder="1"/>
    <x:xf numFmtId="200" fontId="11" fillId="4" borderId="2" xfId="0" applyNumberFormat="1" applyFont="1" applyFill="1" applyBorder="1" applyAlignment="1">
      <x:alignment horizontal="center"/>
    </x:xf>
    <x:xf numFmtId="0" fontId="9" fillId="0" borderId="7" xfId="0" applyNumberFormat="1" applyFont="1" applyFill="1" applyBorder="1" applyAlignment="1">
      <x:alignment wrapText="1"/>
    </x:xf>
    <x:xf numFmtId="201" fontId="9" fillId="5" borderId="8" xfId="0" applyNumberFormat="1" applyFont="1" applyFill="1" applyBorder="1" applyAlignment="1">
      <x:alignment wrapText="1"/>
    </x:xf>
    <x:xf numFmtId="0" fontId="9" fillId="0" borderId="9" xfId="0" applyNumberFormat="1" applyFont="1" applyFill="1" applyBorder="1" applyAlignment="1">
      <x:alignment wrapText="1"/>
    </x:xf>
    <x:xf numFmtId="0" fontId="9" fillId="4" borderId="3" xfId="0" applyNumberFormat="1" applyFont="1" applyFill="1" applyBorder="1"/>
    <x:xf numFmtId="200" fontId="11" fillId="4" borderId="4" xfId="0" applyNumberFormat="1" applyFont="1" applyFill="1" applyBorder="1" applyAlignment="1">
      <x:alignment horizontal="center"/>
    </x:xf>
    <x:xf numFmtId="0" fontId="9" fillId="0" borderId="10" xfId="0" applyNumberFormat="1" applyFont="1" applyFill="1" applyBorder="1" applyAlignment="1">
      <x:alignment wrapText="1"/>
    </x:xf>
    <x:xf numFmtId="202" fontId="9" fillId="5" borderId="11" xfId="0" applyNumberFormat="1" applyFont="1" applyFill="1" applyBorder="1" applyAlignment="1">
      <x:alignment wrapText="1"/>
    </x:xf>
    <x:xf numFmtId="0" fontId="9" fillId="0" borderId="12" xfId="0" applyNumberFormat="1" applyFont="1" applyFill="1" applyBorder="1" applyAlignment="1">
      <x:alignment wrapText="1"/>
    </x:xf>
    <x:xf numFmtId="201" fontId="9" fillId="5" borderId="11" xfId="0" applyNumberFormat="1" applyFont="1" applyFill="1" applyBorder="1" applyAlignment="1">
      <x:alignment wrapText="1"/>
    </x:xf>
    <x:xf numFmtId="0" fontId="9" fillId="4" borderId="5" xfId="0" applyNumberFormat="1" applyFont="1" applyFill="1" applyBorder="1"/>
    <x:xf numFmtId="200" fontId="11" fillId="4" borderId="6" xfId="0" applyNumberFormat="1" applyFont="1" applyFill="1" applyBorder="1" applyAlignment="1">
      <x:alignment horizontal="center"/>
    </x:xf>
    <x:xf numFmtId="0" fontId="9" fillId="5" borderId="11" xfId="0" applyNumberFormat="1" applyFont="1" applyFill="1" applyBorder="1" applyAlignment="1">
      <x:alignment wrapText="1"/>
    </x:xf>
    <x:xf numFmtId="0" fontId="9" fillId="4" borderId="7" xfId="0" applyNumberFormat="1" applyFont="1" applyFill="1" applyBorder="1"/>
    <x:xf numFmtId="0" fontId="9" fillId="4" borderId="8" xfId="0" applyNumberFormat="1" applyFont="1" applyFill="1" applyBorder="1"/>
    <x:xf numFmtId="204" fontId="9" fillId="4" borderId="9" xfId="0" applyNumberFormat="1" applyFont="1" applyFill="1" applyBorder="1"/>
    <x:xf numFmtId="0" fontId="9" fillId="4" borderId="10" xfId="0" applyNumberFormat="1" applyFont="1" applyFill="1" applyBorder="1"/>
    <x:xf numFmtId="0" fontId="9" fillId="4" borderId="11" xfId="0" applyNumberFormat="1" applyFont="1" applyFill="1" applyBorder="1"/>
    <x:xf numFmtId="204" fontId="9" fillId="4" borderId="12" xfId="0" applyNumberFormat="1" applyFont="1" applyFill="1" applyBorder="1"/>
    <x:xf numFmtId="203" fontId="9" fillId="5" borderId="11" xfId="0" applyNumberFormat="1" applyFont="1" applyFill="1" applyBorder="1" applyAlignment="1">
      <x:alignment wrapText="1"/>
    </x:xf>
    <x:xf numFmtId="0" fontId="9" fillId="4" borderId="13" xfId="0" applyNumberFormat="1" applyFont="1" applyFill="1" applyBorder="1"/>
    <x:xf numFmtId="0" fontId="9" fillId="4" borderId="14" xfId="0" applyNumberFormat="1" applyFont="1" applyFill="1" applyBorder="1"/>
    <x:xf numFmtId="204" fontId="9" fillId="4" borderId="15" xfId="0" applyNumberFormat="1" applyFont="1" applyFill="1" applyBorder="1"/>
    <x:xf numFmtId="0" fontId="9" fillId="0" borderId="13" xfId="0" applyNumberFormat="1" applyFont="1" applyFill="1" applyBorder="1" applyAlignment="1">
      <x:alignment wrapText="1"/>
    </x:xf>
    <x:xf numFmtId="201" fontId="9" fillId="5" borderId="14" xfId="0" applyNumberFormat="1" applyFont="1" applyFill="1" applyBorder="1" applyAlignment="1">
      <x:alignment wrapText="1"/>
    </x:xf>
    <x:xf numFmtId="0" fontId="9" fillId="0" borderId="15" xfId="0" applyNumberFormat="1" applyFont="1" applyFill="1" applyBorder="1" applyAlignment="1">
      <x:alignment wrapText="1"/>
    </x:xf>
    <x:xf numFmtId="0" fontId="12" fillId="6" borderId="0" xfId="0" applyNumberFormat="1" applyFont="1" applyFill="1" applyBorder="1" applyAlignment="1">
      <x:alignment vertical="center" wrapText="1"/>
    </x:xf>
    <x:xf numFmtId="0" fontId="13" fillId="3" borderId="16" xfId="0" applyNumberFormat="1" applyFont="1" applyFill="1" applyBorder="1" applyAlignment="1">
      <x:alignment vertical="center" wrapText="1"/>
    </x:xf>
    <x:xf numFmtId="0" fontId="13" fillId="3" borderId="17" xfId="0" applyNumberFormat="1" applyFont="1" applyFill="1" applyBorder="1" applyAlignment="1">
      <x:alignment vertical="center" wrapText="1"/>
    </x:xf>
    <x:xf numFmtId="0" fontId="13" fillId="3" borderId="18" xfId="0" applyNumberFormat="1" applyFont="1" applyFill="1" applyBorder="1" applyAlignment="1">
      <x:alignment vertical="center" wrapText="1"/>
    </x:xf>
    <x:xf numFmtId="0" fontId="13" fillId="3" borderId="19" xfId="0" applyNumberFormat="1" applyFont="1" applyFill="1" applyBorder="1" applyAlignment="1">
      <x:alignment vertical="center" wrapText="1"/>
    </x:xf>
    <x:xf numFmtId="0" fontId="13" fillId="3" borderId="0" xfId="0" applyNumberFormat="1" applyFont="1" applyFill="1" applyBorder="1" applyAlignment="1">
      <x:alignment vertical="center" wrapText="1"/>
    </x:xf>
    <x:xf numFmtId="0" fontId="13" fillId="3" borderId="20" xfId="0" applyNumberFormat="1" applyFont="1" applyFill="1" applyBorder="1" applyAlignment="1">
      <x:alignment vertical="center" wrapText="1"/>
    </x:xf>
    <x:xf numFmtId="0" fontId="13" fillId="3" borderId="21" xfId="0" applyNumberFormat="1" applyFont="1" applyFill="1" applyBorder="1" applyAlignment="1">
      <x:alignment vertical="center" wrapText="1"/>
    </x:xf>
    <x:xf numFmtId="0" fontId="13" fillId="3" borderId="22" xfId="0" applyNumberFormat="1" applyFont="1" applyFill="1" applyBorder="1" applyAlignment="1">
      <x:alignment vertical="center" wrapText="1"/>
    </x:xf>
    <x:xf numFmtId="0" fontId="13" fillId="3" borderId="23" xfId="0" applyNumberFormat="1" applyFont="1" applyFill="1" applyBorder="1" applyAlignment="1">
      <x:alignment vertical="center" wrapText="1"/>
    </x:xf>
    <x:xf numFmtId="0" fontId="14" fillId="2" borderId="0" xfId="0" applyNumberFormat="1" applyFont="1" applyFill="1" applyBorder="1"/>
    <x:xf numFmtId="0" fontId="14" fillId="2" borderId="0" xfId="0" applyNumberFormat="1" applyFont="1" applyFill="1" applyBorder="1" applyAlignment="1">
      <x:alignment vertical="center"/>
    </x:xf>
    <x:xf numFmtId="0" fontId="15" fillId="3" borderId="0" xfId="0" applyNumberFormat="1" applyFont="1" applyFill="1" applyBorder="1"/>
    <x:xf numFmtId="0" fontId="15" fillId="3" borderId="0" xfId="0" applyNumberFormat="1" applyFont="1" applyFill="1" applyBorder="1" applyAlignment="1">
      <x:alignment wrapText="1"/>
    </x:xf>
    <x:xf numFmtId="205" fontId="0" fillId="5" borderId="0" xfId="0" applyNumberFormat="1" applyFont="1" applyFill="1" applyBorder="1"/>
    <x:xf numFmtId="205" fontId="0" fillId="0" borderId="0" xfId="0" applyNumberFormat="1" applyFont="1" applyFill="1" applyBorder="1"/>
    <x:xf numFmtId="201" fontId="0" fillId="0" borderId="0" xfId="0" applyNumberFormat="1" applyFont="1" applyFill="1" applyBorder="1"/>
    <x:xf numFmtId="204" fontId="0" fillId="5" borderId="0" xfId="0" applyNumberFormat="1" applyFont="1" applyFill="1" applyBorder="1"/>
    <x:xf numFmtId="204" fontId="0" fillId="0" borderId="0" xfId="0" applyNumberFormat="1" applyFont="1" applyFill="1" applyBorder="1"/>
    <x:xf numFmtId="200" fontId="0" fillId="0" borderId="0" xfId="0" applyNumberFormat="1" applyFont="1" applyFill="1" applyBorder="1"/>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x:xf>
    <x:xf numFmtId="205" fontId="0" fillId="5" borderId="0" xfId="0" applyNumberFormat="1" applyFont="1" applyFill="1" applyBorder="1" applyAlignment="1">
      <x:alignment vertical="top"/>
    </x:xf>
    <x:xf numFmtId="205" fontId="0" fillId="0" borderId="0" xfId="0" applyNumberFormat="1" applyFont="1" applyFill="1" applyBorder="1" applyAlignment="1">
      <x:alignment vertical="top"/>
    </x:xf>
    <x:xf numFmtId="201" fontId="0" fillId="0" borderId="0" xfId="0" applyNumberFormat="1" applyFont="1" applyFill="1" applyBorder="1" applyAlignment="1">
      <x:alignment vertical="top"/>
    </x:xf>
    <x:xf numFmtId="204" fontId="0" fillId="5" borderId="0" xfId="0" applyNumberFormat="1" applyFont="1" applyFill="1" applyBorder="1" applyAlignment="1">
      <x:alignment vertical="top"/>
    </x:xf>
    <x:xf numFmtId="204" fontId="0" fillId="0" borderId="0" xfId="0" applyNumberFormat="1" applyFont="1" applyFill="1" applyBorder="1" applyAlignment="1">
      <x:alignment vertical="top"/>
    </x:xf>
    <x:xf numFmtId="0" fontId="0" fillId="5"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16" fillId="3" borderId="0" xfId="0" applyNumberFormat="1" applyFont="1" applyFill="1" applyBorder="1" applyAlignment="1">
      <x:alignment wrapText="1"/>
    </x:xf>
    <x:xf numFmtId="200" fontId="9" fillId="0" borderId="0" xfId="0" applyNumberFormat="1" applyFont="1" applyFill="1" applyBorder="1" applyAlignment="1">
      <x:alignment vertical="top"/>
    </x:xf>
    <x:xf numFmtId="0" fontId="9" fillId="0" borderId="0" xfId="0" applyNumberFormat="1" applyFont="1" applyFill="1" applyBorder="1" applyAlignment="1">
      <x:alignment vertical="top"/>
    </x:xf>
    <x:xf numFmtId="0" fontId="9" fillId="0" borderId="0" xfId="0" applyNumberFormat="1" applyFont="1" applyFill="1" applyBorder="1" applyAlignment="1">
      <x:alignment vertical="top" wrapText="1"/>
    </x:xf>
    <x:xf numFmtId="205" fontId="9" fillId="5" borderId="0" xfId="0" applyNumberFormat="1" applyFont="1" applyFill="1" applyBorder="1" applyAlignment="1">
      <x:alignment vertical="top"/>
    </x:xf>
    <x:xf numFmtId="205" fontId="9" fillId="0" borderId="0" xfId="0" applyNumberFormat="1" applyFont="1" applyFill="1" applyBorder="1" applyAlignment="1">
      <x:alignment vertical="top"/>
    </x:xf>
    <x:xf numFmtId="201" fontId="9" fillId="0" borderId="0" xfId="0" applyNumberFormat="1" applyFont="1" applyFill="1" applyBorder="1" applyAlignment="1">
      <x:alignment vertical="top"/>
    </x:xf>
    <x:xf numFmtId="204" fontId="9" fillId="5" borderId="0" xfId="0" applyNumberFormat="1" applyFont="1" applyFill="1" applyBorder="1" applyAlignment="1">
      <x:alignment vertical="top"/>
    </x:xf>
    <x:xf numFmtId="204" fontId="9" fillId="0" borderId="0" xfId="0" applyNumberFormat="1" applyFont="1" applyFill="1" applyBorder="1" applyAlignment="1">
      <x:alignment vertical="top"/>
    </x:xf>
    <x:xf numFmtId="0" fontId="9" fillId="5" borderId="0"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9"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5" fillId="6" borderId="0" xfId="0" applyNumberFormat="1" applyFont="1" applyFill="1" applyBorder="1" applyAlignment="1">
      <x:alignment horizontal="center"/>
    </x:xf>
    <x:xf numFmtId="0" fontId="0" fillId="4" borderId="0" xfId="0" applyNumberFormat="1" applyFont="1" applyFill="1" applyBorder="1" applyAlignment="1">
      <x:alignment wrapText="1"/>
    </x:xf>
    <x:xf numFmtId="0" fontId="5" fillId="6" borderId="7" xfId="0" applyNumberFormat="1" applyFont="1" applyFill="1" applyBorder="1" applyAlignment="1">
      <x:alignment horizontal="center"/>
    </x:xf>
    <x:xf numFmtId="0" fontId="0" fillId="4" borderId="9" xfId="0" applyNumberFormat="1" applyFont="1" applyFill="1" applyBorder="1" applyAlignment="1">
      <x:alignment wrapText="1"/>
    </x:xf>
    <x:xf numFmtId="0" fontId="5" fillId="6" borderId="10" xfId="0" applyNumberFormat="1" applyFont="1" applyFill="1" applyBorder="1" applyAlignment="1">
      <x:alignment horizontal="center"/>
    </x:xf>
    <x:xf numFmtId="0" fontId="0" fillId="4" borderId="12" xfId="0" applyNumberFormat="1" applyFont="1" applyFill="1" applyBorder="1" applyAlignment="1">
      <x:alignment wrapText="1"/>
    </x:xf>
    <x:xf numFmtId="0" fontId="5" fillId="6" borderId="13" xfId="0" applyNumberFormat="1" applyFont="1" applyFill="1" applyBorder="1" applyAlignment="1">
      <x:alignment horizontal="center"/>
    </x:xf>
    <x:xf numFmtId="0" fontId="0" fillId="4" borderId="15"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4" xfId="0" applyNumberFormat="1" applyFont="1" applyFill="1" applyBorder="1" applyAlignment="1">
      <x:alignment wrapText="1"/>
    </x:xf>
    <x:xf numFmtId="0" fontId="0" fillId="6" borderId="7" xfId="0" applyNumberFormat="1" applyFont="1" applyFill="1" applyBorder="1" applyAlignment="1">
      <x:alignment wrapText="1"/>
    </x:xf>
    <x:xf numFmtId="0" fontId="0" fillId="6" borderId="8" xfId="0" applyNumberFormat="1" applyFont="1" applyFill="1" applyBorder="1" applyAlignment="1">
      <x:alignment wrapText="1"/>
    </x:xf>
    <x:xf numFmtId="0" fontId="0" fillId="6" borderId="9" xfId="0" applyNumberFormat="1" applyFont="1" applyFill="1" applyBorder="1" applyAlignment="1">
      <x:alignment wrapText="1"/>
    </x:xf>
    <x:xf numFmtId="0" fontId="0" fillId="5" borderId="10" xfId="0" applyNumberFormat="1" applyFont="1" applyFill="1" applyBorder="1" applyAlignment="1">
      <x:alignment wrapText="1"/>
    </x:xf>
    <x:xf numFmtId="0" fontId="0" fillId="5" borderId="12" xfId="0" applyNumberFormat="1" applyFont="1" applyFill="1" applyBorder="1" applyAlignment="1">
      <x:alignment wrapText="1"/>
    </x:xf>
    <x:xf numFmtId="0" fontId="0" fillId="7" borderId="10" xfId="0" applyNumberFormat="1" applyFont="1" applyFill="1" applyBorder="1" applyAlignment="1">
      <x:alignment wrapText="1"/>
    </x:xf>
    <x:xf numFmtId="0" fontId="0" fillId="7" borderId="11" xfId="0" applyNumberFormat="1" applyFont="1" applyFill="1" applyBorder="1" applyAlignment="1">
      <x:alignment wrapText="1"/>
    </x:xf>
    <x:xf numFmtId="0" fontId="0" fillId="7" borderId="12" xfId="0" applyNumberFormat="1" applyFont="1" applyFill="1" applyBorder="1" applyAlignment="1">
      <x:alignment wrapText="1"/>
    </x:xf>
    <x:xf numFmtId="0" fontId="0" fillId="8" borderId="13" xfId="0" applyNumberFormat="1" applyFont="1" applyFill="1" applyBorder="1" applyAlignment="1">
      <x:alignment wrapText="1"/>
    </x:xf>
    <x:xf numFmtId="0" fontId="0" fillId="8" borderId="14" xfId="0" applyNumberFormat="1" applyFont="1" applyFill="1" applyBorder="1" applyAlignment="1">
      <x:alignment wrapText="1"/>
    </x:xf>
    <x:xf numFmtId="0" fontId="0" fillId="8" borderId="15" xfId="0" applyNumberFormat="1" applyFont="1" applyFill="1" applyBorder="1" applyAlignment="1">
      <x:alignment wrapText="1"/>
    </x:xf>
    <x:xf numFmtId="0" fontId="0" fillId="8" borderId="0" xfId="0" applyNumberFormat="1" applyFont="1" applyFill="1" applyBorder="1"/>
    <x:xf numFmtId="0" fontId="17" fillId="8" borderId="0" xfId="0" applyNumberFormat="1" applyFont="1" applyFill="1" applyBorder="1"/>
    <x:xf numFmtId="0" fontId="17" fillId="8" borderId="0" xfId="0" applyNumberFormat="1" applyFont="1" applyFill="1" applyBorder="1" applyAlignment="1">
      <x:alignment wrapText="1"/>
    </x:xf>
    <x:xf numFmtId="0" fontId="17" fillId="8" borderId="0" xfId="0" applyNumberFormat="1" applyFont="1" applyFill="1" applyBorder="1" applyAlignment="1">
      <x:alignment vertical="center" wrapText="1"/>
    </x:xf>
    <x:xf numFmtId="0" fontId="12" fillId="6" borderId="7" xfId="0" applyNumberFormat="1" applyFont="1" applyFill="1" applyBorder="1" applyAlignment="1">
      <x:alignment horizontal="center"/>
    </x:xf>
    <x:xf numFmtId="0" fontId="9" fillId="4" borderId="9" xfId="0" applyNumberFormat="1" applyFont="1" applyFill="1" applyBorder="1" applyAlignment="1">
      <x:alignment wrapText="1"/>
    </x:xf>
    <x:xf numFmtId="0" fontId="9" fillId="6" borderId="7" xfId="0" applyNumberFormat="1" applyFont="1" applyFill="1" applyBorder="1" applyAlignment="1">
      <x:alignment wrapText="1"/>
    </x:xf>
    <x:xf numFmtId="0" fontId="9" fillId="6" borderId="8" xfId="0" applyNumberFormat="1" applyFont="1" applyFill="1" applyBorder="1" applyAlignment="1">
      <x:alignment wrapText="1"/>
    </x:xf>
    <x:xf numFmtId="0" fontId="9" fillId="6" borderId="9" xfId="0" applyNumberFormat="1" applyFont="1" applyFill="1" applyBorder="1" applyAlignment="1">
      <x:alignment wrapText="1"/>
    </x:xf>
    <x:xf numFmtId="0" fontId="12" fillId="6" borderId="10" xfId="0" applyNumberFormat="1" applyFont="1" applyFill="1" applyBorder="1" applyAlignment="1">
      <x:alignment horizontal="center"/>
    </x:xf>
    <x:xf numFmtId="0" fontId="9" fillId="4" borderId="12" xfId="0" applyNumberFormat="1" applyFont="1" applyFill="1" applyBorder="1" applyAlignment="1">
      <x:alignment wrapText="1"/>
    </x:xf>
    <x:xf numFmtId="0" fontId="9" fillId="5" borderId="10" xfId="0" applyNumberFormat="1" applyFont="1" applyFill="1" applyBorder="1" applyAlignment="1">
      <x:alignment wrapText="1"/>
    </x:xf>
    <x:xf numFmtId="0" fontId="9" fillId="5" borderId="12" xfId="0" applyNumberFormat="1" applyFont="1" applyFill="1" applyBorder="1" applyAlignment="1">
      <x:alignment wrapText="1"/>
    </x:xf>
    <x:xf numFmtId="0" fontId="9" fillId="7" borderId="10" xfId="0" applyNumberFormat="1" applyFont="1" applyFill="1" applyBorder="1" applyAlignment="1">
      <x:alignment wrapText="1"/>
    </x:xf>
    <x:xf numFmtId="0" fontId="9" fillId="7" borderId="11" xfId="0" applyNumberFormat="1" applyFont="1" applyFill="1" applyBorder="1" applyAlignment="1">
      <x:alignment wrapText="1"/>
    </x:xf>
    <x:xf numFmtId="0" fontId="9" fillId="7" borderId="12" xfId="0" applyNumberFormat="1" applyFont="1" applyFill="1" applyBorder="1" applyAlignment="1">
      <x:alignment wrapText="1"/>
    </x:xf>
    <x:xf numFmtId="0" fontId="9" fillId="8" borderId="13" xfId="0" applyNumberFormat="1" applyFont="1" applyFill="1" applyBorder="1" applyAlignment="1">
      <x:alignment wrapText="1"/>
    </x:xf>
    <x:xf numFmtId="0" fontId="9" fillId="8" borderId="14" xfId="0" applyNumberFormat="1" applyFont="1" applyFill="1" applyBorder="1" applyAlignment="1">
      <x:alignment wrapText="1"/>
    </x:xf>
    <x:xf numFmtId="0" fontId="9" fillId="8" borderId="15" xfId="0" applyNumberFormat="1" applyFont="1" applyFill="1" applyBorder="1" applyAlignment="1">
      <x:alignment wrapText="1"/>
    </x:xf>
    <x:xf numFmtId="0" fontId="18" fillId="8" borderId="0" xfId="0" applyNumberFormat="1" applyFont="1" applyFill="1" applyBorder="1" applyAlignment="1">
      <x:alignment vertical="center" wrapText="1"/>
    </x:xf>
    <x:xf numFmtId="0" fontId="12" fillId="6" borderId="13" xfId="0" applyNumberFormat="1" applyFont="1" applyFill="1" applyBorder="1" applyAlignment="1">
      <x:alignment horizontal="center"/>
    </x:xf>
    <x:xf numFmtId="0" fontId="9" fillId="4" borderId="15" xfId="0" applyNumberFormat="1" applyFont="1" applyFill="1" applyBorder="1" applyAlignment="1">
      <x:alignment wrapText="1"/>
    </x:xf>
    <x:xf numFmtId="0" fontId="0" fillId="4" borderId="7" xfId="0" applyNumberFormat="1" applyFont="1" applyFill="1" applyBorder="1" applyAlignment="1">
      <x:alignment wrapText="1"/>
    </x:xf>
    <x:xf numFmtId="0" fontId="0" fillId="4" borderId="8" xfId="0" applyNumberFormat="1" applyFont="1" applyFill="1" applyBorder="1" applyAlignment="1">
      <x:alignment wrapText="1"/>
    </x:xf>
    <x:xf numFmtId="0" fontId="0" fillId="4" borderId="10" xfId="0" applyNumberFormat="1" applyFont="1" applyFill="1" applyBorder="1" applyAlignment="1">
      <x:alignment wrapText="1"/>
    </x:xf>
    <x:xf numFmtId="0" fontId="0" fillId="4" borderId="11" xfId="0" applyNumberFormat="1" applyFont="1" applyFill="1" applyBorder="1" applyAlignment="1">
      <x:alignment wrapText="1"/>
    </x:xf>
    <x:xf numFmtId="0" fontId="0" fillId="4" borderId="13" xfId="0" applyNumberFormat="1" applyFont="1" applyFill="1" applyBorder="1" applyAlignment="1">
      <x:alignment wrapText="1"/>
    </x:xf>
    <x:xf numFmtId="0" fontId="0" fillId="4" borderId="14" xfId="0" applyNumberFormat="1" applyFont="1" applyFill="1" applyBorder="1" applyAlignment="1">
      <x:alignment wrapText="1"/>
    </x:xf>
    <x:xf numFmtId="0" fontId="0" fillId="4" borderId="7" xfId="0" applyNumberFormat="1" applyFont="1" applyFill="1" applyBorder="1" applyAlignment="1">
      <x:alignment vertical="top" wrapText="1"/>
    </x:xf>
    <x:xf numFmtId="0" fontId="0" fillId="4" borderId="8" xfId="0" applyNumberFormat="1" applyFont="1" applyFill="1" applyBorder="1" applyAlignment="1">
      <x:alignment vertical="top" wrapText="1"/>
    </x:xf>
    <x:xf numFmtId="0" fontId="0" fillId="4" borderId="9" xfId="0" applyNumberFormat="1" applyFont="1" applyFill="1" applyBorder="1" applyAlignment="1">
      <x:alignment vertical="top" wrapText="1"/>
    </x:xf>
    <x:xf numFmtId="0" fontId="0" fillId="4" borderId="10" xfId="0" applyNumberFormat="1" applyFont="1" applyFill="1" applyBorder="1" applyAlignment="1">
      <x:alignment vertical="top" wrapText="1"/>
    </x:xf>
    <x:xf numFmtId="0" fontId="0" fillId="4" borderId="11" xfId="0" applyNumberFormat="1" applyFont="1" applyFill="1" applyBorder="1" applyAlignment="1">
      <x:alignment vertical="top" wrapText="1"/>
    </x:xf>
    <x:xf numFmtId="0" fontId="0" fillId="4" borderId="12" xfId="0" applyNumberFormat="1" applyFont="1" applyFill="1" applyBorder="1" applyAlignment="1">
      <x:alignment vertical="top" wrapText="1"/>
    </x:xf>
    <x:xf numFmtId="0" fontId="0" fillId="4" borderId="13" xfId="0" applyNumberFormat="1" applyFont="1" applyFill="1" applyBorder="1" applyAlignment="1">
      <x:alignment vertical="top" wrapText="1"/>
    </x:xf>
    <x:xf numFmtId="0" fontId="0" fillId="4" borderId="14" xfId="0" applyNumberFormat="1" applyFont="1" applyFill="1" applyBorder="1" applyAlignment="1">
      <x:alignment vertical="top" wrapText="1"/>
    </x:xf>
    <x:xf numFmtId="0" fontId="0" fillId="4" borderId="15" xfId="0" applyNumberFormat="1" applyFont="1" applyFill="1" applyBorder="1" applyAlignment="1">
      <x:alignment vertical="top" wrapText="1"/>
    </x:xf>
    <x:xf numFmtId="0" fontId="0" fillId="3" borderId="16" xfId="0" applyNumberFormat="1" applyFont="1" applyFill="1" applyBorder="1"/>
    <x:xf numFmtId="0" fontId="0" fillId="3" borderId="17" xfId="0" applyNumberFormat="1" applyFont="1" applyFill="1" applyBorder="1"/>
    <x:xf numFmtId="0" fontId="0" fillId="3" borderId="18" xfId="0" applyNumberFormat="1" applyFont="1" applyFill="1" applyBorder="1"/>
    <x:xf numFmtId="0" fontId="0" fillId="3" borderId="19" xfId="0" applyNumberFormat="1" applyFont="1" applyFill="1" applyBorder="1"/>
    <x:xf numFmtId="0" fontId="0" fillId="3" borderId="20" xfId="0" applyNumberFormat="1" applyFont="1" applyFill="1" applyBorder="1"/>
    <x:xf numFmtId="0" fontId="0" fillId="3" borderId="21" xfId="0" applyNumberFormat="1" applyFont="1" applyFill="1" applyBorder="1"/>
    <x:xf numFmtId="0" fontId="0" fillId="3" borderId="22" xfId="0" applyNumberFormat="1" applyFont="1" applyFill="1" applyBorder="1"/>
    <x:xf numFmtId="0" fontId="0" fillId="3" borderId="23" xfId="0" applyNumberFormat="1" applyFont="1" applyFill="1" applyBorder="1"/>
    <x:xf numFmtId="0" fontId="0" fillId="3" borderId="16" xfId="0" applyNumberFormat="1" applyFont="1" applyFill="1" applyBorder="1" applyAlignment="1">
      <x:alignment wrapText="1"/>
    </x:xf>
    <x:xf numFmtId="0" fontId="0" fillId="3" borderId="17" xfId="0" applyNumberFormat="1" applyFont="1" applyFill="1" applyBorder="1" applyAlignment="1">
      <x:alignment wrapText="1"/>
    </x:xf>
    <x:xf numFmtId="0" fontId="0" fillId="3" borderId="18" xfId="0" applyNumberFormat="1" applyFont="1" applyFill="1" applyBorder="1" applyAlignment="1">
      <x:alignment wrapText="1"/>
    </x:xf>
    <x:xf numFmtId="0" fontId="0" fillId="3" borderId="19" xfId="0" applyNumberFormat="1" applyFont="1" applyFill="1" applyBorder="1" applyAlignment="1">
      <x:alignment wrapText="1"/>
    </x:xf>
    <x:xf numFmtId="0" fontId="0" fillId="3" borderId="0" xfId="0" applyNumberFormat="1" applyFont="1" applyFill="1" applyBorder="1" applyAlignment="1">
      <x:alignment wrapText="1"/>
    </x:xf>
    <x:xf numFmtId="0" fontId="0" fillId="3" borderId="20" xfId="0" applyNumberFormat="1" applyFont="1" applyFill="1" applyBorder="1" applyAlignment="1">
      <x:alignment wrapText="1"/>
    </x:xf>
    <x:xf numFmtId="0" fontId="0" fillId="3" borderId="21" xfId="0" applyNumberFormat="1" applyFont="1" applyFill="1" applyBorder="1" applyAlignment="1">
      <x:alignment wrapText="1"/>
    </x:xf>
    <x:xf numFmtId="0" fontId="0" fillId="3" borderId="22" xfId="0" applyNumberFormat="1" applyFont="1" applyFill="1" applyBorder="1" applyAlignment="1">
      <x:alignment wrapText="1"/>
    </x:xf>
    <x:xf numFmtId="0" fontId="0" fillId="3" borderId="23" xfId="0" applyNumberFormat="1" applyFont="1" applyFill="1" applyBorder="1" applyAlignment="1">
      <x:alignment wrapText="1"/>
    </x:xf>
    <x:xf numFmtId="0" fontId="0" fillId="3" borderId="16" xfId="0" applyNumberFormat="1" applyFont="1" applyFill="1" applyBorder="1" applyAlignment="1">
      <x:alignment vertical="center" wrapText="1"/>
    </x:xf>
    <x:xf numFmtId="0" fontId="0" fillId="3" borderId="17" xfId="0" applyNumberFormat="1" applyFont="1" applyFill="1" applyBorder="1" applyAlignment="1">
      <x:alignment vertical="center" wrapText="1"/>
    </x:xf>
    <x:xf numFmtId="0" fontId="0" fillId="3" borderId="18" xfId="0" applyNumberFormat="1" applyFont="1" applyFill="1" applyBorder="1" applyAlignment="1">
      <x:alignment vertical="center" wrapText="1"/>
    </x:xf>
    <x:xf numFmtId="0" fontId="0" fillId="3" borderId="19" xfId="0" applyNumberFormat="1" applyFont="1" applyFill="1" applyBorder="1" applyAlignment="1">
      <x:alignment vertical="center" wrapText="1"/>
    </x:xf>
    <x:xf numFmtId="0" fontId="0" fillId="3" borderId="0" xfId="0" applyNumberFormat="1" applyFont="1" applyFill="1" applyBorder="1" applyAlignment="1">
      <x:alignment vertical="center" wrapText="1"/>
    </x:xf>
    <x:xf numFmtId="0" fontId="0" fillId="3" borderId="20" xfId="0" applyNumberFormat="1" applyFont="1" applyFill="1" applyBorder="1" applyAlignment="1">
      <x:alignment vertical="center" wrapText="1"/>
    </x:xf>
    <x:xf numFmtId="0" fontId="0" fillId="3" borderId="21" xfId="0" applyNumberFormat="1" applyFont="1" applyFill="1" applyBorder="1" applyAlignment="1">
      <x:alignment vertical="center" wrapText="1"/>
    </x:xf>
    <x:xf numFmtId="0" fontId="0" fillId="3" borderId="22" xfId="0" applyNumberFormat="1" applyFont="1" applyFill="1" applyBorder="1" applyAlignment="1">
      <x:alignment vertical="center" wrapText="1"/>
    </x:xf>
    <x:xf numFmtId="0" fontId="0" fillId="3" borderId="23" xfId="0" applyNumberFormat="1" applyFont="1" applyFill="1" applyBorder="1" applyAlignment="1">
      <x:alignment vertical="center" wrapText="1"/>
    </x:xf>
    <x:xf numFmtId="0" fontId="9" fillId="4" borderId="7" xfId="0" applyNumberFormat="1" applyFont="1" applyFill="1" applyBorder="1" applyAlignment="1">
      <x:alignment vertical="top" wrapText="1"/>
    </x:xf>
    <x:xf numFmtId="0" fontId="9" fillId="4" borderId="8" xfId="0" applyNumberFormat="1" applyFont="1" applyFill="1" applyBorder="1" applyAlignment="1">
      <x:alignment vertical="top" wrapText="1"/>
    </x:xf>
    <x:xf numFmtId="0" fontId="9" fillId="4" borderId="9" xfId="0" applyNumberFormat="1" applyFont="1" applyFill="1" applyBorder="1" applyAlignment="1">
      <x:alignment vertical="top" wrapText="1"/>
    </x:xf>
    <x:xf numFmtId="0" fontId="9" fillId="4" borderId="10" xfId="0" applyNumberFormat="1" applyFont="1" applyFill="1" applyBorder="1" applyAlignment="1">
      <x:alignment vertical="top" wrapText="1"/>
    </x:xf>
    <x:xf numFmtId="0" fontId="9" fillId="4" borderId="11" xfId="0" applyNumberFormat="1" applyFont="1" applyFill="1" applyBorder="1" applyAlignment="1">
      <x:alignment vertical="top" wrapText="1"/>
    </x:xf>
    <x:xf numFmtId="0" fontId="9" fillId="4" borderId="12" xfId="0" applyNumberFormat="1" applyFont="1" applyFill="1" applyBorder="1" applyAlignment="1">
      <x:alignment vertical="top" wrapText="1"/>
    </x:xf>
    <x:xf numFmtId="0" fontId="9" fillId="4" borderId="13" xfId="0" applyNumberFormat="1" applyFont="1" applyFill="1" applyBorder="1" applyAlignment="1">
      <x:alignment vertical="top" wrapText="1"/>
    </x:xf>
    <x:xf numFmtId="0" fontId="9" fillId="4" borderId="14" xfId="0" applyNumberFormat="1" applyFont="1" applyFill="1" applyBorder="1" applyAlignment="1">
      <x:alignment vertical="top" wrapText="1"/>
    </x:xf>
    <x:xf numFmtId="0" fontId="9" fillId="4" borderId="15" xfId="0" applyNumberFormat="1" applyFont="1" applyFill="1" applyBorder="1" applyAlignment="1">
      <x:alignment vertical="top" wrapText="1"/>
    </x:xf>
    <x:xf numFmtId="0" fontId="9" fillId="3" borderId="16" xfId="0" applyNumberFormat="1" applyFont="1" applyFill="1" applyBorder="1" applyAlignment="1">
      <x:alignment vertical="center" wrapText="1"/>
    </x:xf>
    <x:xf numFmtId="0" fontId="9" fillId="3" borderId="17" xfId="0" applyNumberFormat="1" applyFont="1" applyFill="1" applyBorder="1" applyAlignment="1">
      <x:alignment vertical="center" wrapText="1"/>
    </x:xf>
    <x:xf numFmtId="0" fontId="9" fillId="3" borderId="18" xfId="0" applyNumberFormat="1" applyFont="1" applyFill="1" applyBorder="1" applyAlignment="1">
      <x:alignment vertical="center" wrapText="1"/>
    </x:xf>
    <x:xf numFmtId="0" fontId="9" fillId="3" borderId="19" xfId="0" applyNumberFormat="1" applyFont="1" applyFill="1" applyBorder="1" applyAlignment="1">
      <x:alignment vertical="center" wrapText="1"/>
    </x:xf>
    <x:xf numFmtId="0" fontId="9" fillId="3" borderId="0" xfId="0" applyNumberFormat="1" applyFont="1" applyFill="1" applyBorder="1" applyAlignment="1">
      <x:alignment vertical="center" wrapText="1"/>
    </x:xf>
    <x:xf numFmtId="0" fontId="9" fillId="3" borderId="20" xfId="0" applyNumberFormat="1" applyFont="1" applyFill="1" applyBorder="1" applyAlignment="1">
      <x:alignment vertical="center" wrapText="1"/>
    </x:xf>
    <x:xf numFmtId="0" fontId="9" fillId="3" borderId="21" xfId="0" applyNumberFormat="1" applyFont="1" applyFill="1" applyBorder="1" applyAlignment="1">
      <x:alignment vertical="center" wrapText="1"/>
    </x:xf>
    <x:xf numFmtId="0" fontId="9" fillId="3" borderId="22" xfId="0" applyNumberFormat="1" applyFont="1" applyFill="1" applyBorder="1" applyAlignment="1">
      <x:alignment vertical="center" wrapText="1"/>
    </x:xf>
    <x:xf numFmtId="0" fontId="9" fillId="3" borderId="23" xfId="0" applyNumberFormat="1" applyFont="1" applyFill="1" applyBorder="1" applyAlignment="1">
      <x:alignment vertical="center" wrapText="1"/>
    </x:xf>
  </x:cellXfs>
  <x:cellStyles count="1">
    <x:cellStyle name="Normal" xfId="0"/>
  </x:cellStyles>
  <x:dxfs count="5">
    <x:dxf>
      <x:font>
        <x:b/>
        <x:color rgb="FF8E342B"/>
      </x:font>
      <x:fill>
        <x:patternFill patternType="solid">
          <x:bgColor rgb="FFF3D9D5"/>
        </x:patternFill>
      </x:fill>
    </x:dxf>
    <x:dxf>
      <x:font>
        <x:b/>
        <x:color rgb="FF2D5A36"/>
      </x:font>
      <x:fill>
        <x:patternFill patternType="solid">
          <x:bgColor rgb="FFDDE7D8"/>
        </x:patternFill>
      </x:fill>
    </x:dxf>
    <x:dxf>
      <x:font>
        <x:b/>
      </x:font>
      <x:fill>
        <x:patternFill patternType="solid">
          <x:bgColor rgb="FFFFF2C7"/>
        </x:patternFill>
      </x:fill>
    </x:dxf>
    <x:dxf>
      <x:font>
        <x:b/>
      </x:font>
      <x:fill>
        <x:patternFill patternType="solid">
          <x:bgColor rgb="FFE8D9BD"/>
        </x:patternFill>
      </x:fill>
    </x:dxf>
    <x:dxf>
      <x:font>
        <x:b/>
        <x:color rgb="FF8E342B"/>
      </x:font>
      <x:fill>
        <x:patternFill patternType="solid">
          <x:bgColor rgb="FFF3D9D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016bb4c35034ef8" /><Relationship Type="http://schemas.openxmlformats.org/officeDocument/2006/relationships/theme" Target="/xl/theme/theme1.xml" Id="R00abb340f79147f2" /><Relationship Type="http://schemas.microsoft.com/office/2022/11/relationships/FeaturePropertyBag" Target="/xl/featurePropertyBag/featurePropertyBag.xml" Id="Re9689e7d3f1c4555" /><Relationship Type="http://schemas.openxmlformats.org/officeDocument/2006/relationships/sharedStrings" Target="/xl/sharedStrings.xml" Id="R66b4ae2bde4e4d28" /><Relationship Type="http://schemas.openxmlformats.org/officeDocument/2006/relationships/worksheet" Target="/xl/worksheets/sheet1.xml" Id="Rc9dc1f7a9f2c417b" /><Relationship Type="http://schemas.openxmlformats.org/officeDocument/2006/relationships/worksheet" Target="/xl/worksheets/sheet2.xml" Id="Rfe2d2bdaa77947c3" /><Relationship Type="http://schemas.openxmlformats.org/officeDocument/2006/relationships/worksheet" Target="/xl/worksheets/sheet3.xml" Id="R1aa39d9ae4bc4c6d" /><Relationship Type="http://schemas.openxmlformats.org/officeDocument/2006/relationships/worksheet" Target="/xl/worksheets/sheet4.xml" Id="Rd63406c364be4270" /><Relationship Type="http://schemas.openxmlformats.org/officeDocument/2006/relationships/worksheet" Target="/xl/worksheets/sheet5.xml" Id="R2aba73936ccf4ee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ProductShortlistTable" displayName="ProductShortlistTable" ref="A4:W14" headerRowCount="1" totalsRowCount="0" totalsRowShown="0">
  <x:tableColumns count="23">
    <x:tableColumn id="1" name="Rank"/>
    <x:tableColumn id="2" name="Decision"/>
    <x:tableColumn id="3" name="Product concept"/>
    <x:tableColumn id="4" name="DSers / AliExpress search phrase"/>
    <x:tableColumn id="5" name="Trend evidence"/>
    <x:tableColumn id="6" name="Target customer"/>
    <x:tableColumn id="7" name="Required specs"/>
    <x:tableColumn id="8" name="Supplier checks"/>
    <x:tableColumn id="9" name="Retail price"/>
    <x:tableColumn id="10" name="Landed cost cap"/>
    <x:tableColumn id="11" name="Gross profit"/>
    <x:tableColumn id="12" name="Gross margin"/>
    <x:tableColumn id="13" name="Est. contribution"/>
    <x:tableColumn id="14" name="Contribution margin"/>
    <x:tableColumn id="15" name="Demand"/>
    <x:tableColumn id="16" name="Brand fit"/>
    <x:tableColumn id="17" name="Shipping ease"/>
    <x:tableColumn id="18" name="Margin"/>
    <x:tableColumn id="19" name="Safety"/>
    <x:tableColumn id="20" name="Weighted score"/>
    <x:tableColumn id="21" name="Source URL"/>
    <x:tableColumn id="22" name="Chosen supplier URL"/>
    <x:tableColumn id="23" name="Sample status"/>
  </x:tableColumns>
  <x:tableStyleInfo name="TableStyleMedium4" showFirstColumn="0" showLastColumn="0" showRowStripes="1" showColumnStripes="0"/>
</x:table>
</file>

<file path=xl/tables/table2.xml><?xml version="1.0" encoding="utf-8"?>
<x:table xmlns:x="http://schemas.openxmlformats.org/spreadsheetml/2006/main" id="2" name="ShopifyDraftTable" displayName="ShopifyDraftTable" ref="A1:AD8" headerRowCount="1" totalsRowCount="0" totalsRowShown="0">
  <x:tableColumns count="30">
    <x:tableColumn id="1" name="URL handle"/>
    <x:tableColumn id="2" name="Title"/>
    <x:tableColumn id="3" name="Description"/>
    <x:tableColumn id="4" name="Vendor"/>
    <x:tableColumn id="5" name="Product category"/>
    <x:tableColumn id="6" name="Type"/>
    <x:tableColumn id="7" name="Tags"/>
    <x:tableColumn id="8" name="Published on online store"/>
    <x:tableColumn id="9" name="Status"/>
    <x:tableColumn id="10" name="SKU"/>
    <x:tableColumn id="11" name="Barcode"/>
    <x:tableColumn id="12" name="Option1 name"/>
    <x:tableColumn id="13" name="Option1 value"/>
    <x:tableColumn id="14" name="Price"/>
    <x:tableColumn id="15" name="Compare-at price"/>
    <x:tableColumn id="16" name="Cost per item"/>
    <x:tableColumn id="17" name="Charge tax"/>
    <x:tableColumn id="18" name="Inventory tracker"/>
    <x:tableColumn id="19" name="Inventory quantity"/>
    <x:tableColumn id="20" name="Continue selling when out of stock"/>
    <x:tableColumn id="21" name="Weight value (grams)"/>
    <x:tableColumn id="22" name="Weight unit for display"/>
    <x:tableColumn id="23" name="Requires shipping"/>
    <x:tableColumn id="24" name="Fulfillment service"/>
    <x:tableColumn id="25" name="Product image URL"/>
    <x:tableColumn id="26" name="Image position"/>
    <x:tableColumn id="27" name="Image alt text"/>
    <x:tableColumn id="28" name="SEO title"/>
    <x:tableColumn id="29" name="SEO description"/>
    <x:tableColumn id="30" name="Collection"/>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959817d3feb4915" /></Relationships>
</file>

<file path=xl/worksheets/_rels/sheet3.xml.rels>&#65279;<?xml version="1.0" encoding="utf-8"?><Relationships xmlns="http://schemas.openxmlformats.org/package/2006/relationships"><Relationship Type="http://schemas.openxmlformats.org/officeDocument/2006/relationships/table" Target="/xl/tables/table2.xml" Id="R2a8f28933fb0432a"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2" hidden="0" customWidth="1"/>
    <x:col min="4" max="4" width="26" hidden="0" customWidth="1"/>
    <x:col min="5" max="5" width="14" hidden="0" customWidth="1"/>
    <x:col min="6" max="6" width="34" hidden="0" customWidth="1"/>
    <x:col min="7" max="7" width="12" hidden="0" customWidth="1"/>
    <x:col min="8" max="8" width="12" hidden="0" customWidth="1"/>
  </x:cols>
  <x:sheetData>
    <x:row r="1">
      <x:c r="A1" s="90" t="str">
        <x:v>KINROW Product Sourcing Shortlist</x:v>
      </x:c>
      <x:c r="B1" s="90"/>
      <x:c r="C1" s="90"/>
      <x:c r="D1" s="90"/>
      <x:c r="E1" s="90"/>
      <x:c r="F1" s="90"/>
      <x:c r="G1" s="90"/>
      <x:c r="H1" s="90"/>
    </x:row>
    <x:row r="2">
      <x:c r="A2" s="90"/>
      <x:c r="B2" s="90"/>
      <x:c r="C2" s="90"/>
      <x:c r="D2" s="90"/>
      <x:c r="E2" s="90"/>
      <x:c r="F2" s="90"/>
      <x:c r="G2" s="90"/>
      <x:c r="H2" s="90"/>
    </x:row>
    <x:row r="3">
      <x:c r="A3" s="91" t="str">
        <x:v>Compact home-fitness products prepared for DSers sourcing and Shopify draft staging — researched 2026-08-14</x:v>
      </x:c>
      <x:c r="B3" s="91"/>
      <x:c r="C3" s="91"/>
      <x:c r="D3" s="91"/>
      <x:c r="E3" s="91"/>
      <x:c r="F3" s="91"/>
      <x:c r="G3" s="91"/>
      <x:c r="H3" s="91"/>
    </x:row>
    <x:row r="4">
      <x:c r="A4" s="92"/>
      <x:c r="B4" s="92"/>
      <x:c r="C4" s="92"/>
      <x:c r="D4" s="92"/>
      <x:c r="E4" s="92"/>
      <x:c r="F4" s="92"/>
      <x:c r="G4" s="92"/>
      <x:c r="H4" s="92"/>
    </x:row>
    <x:row r="5">
      <x:c r="A5" s="93" t="str">
        <x:v>Pipeline</x:v>
      </x:c>
      <x:c r="B5" s="93" t="str">
        <x:v>Count</x:v>
      </x:c>
      <x:c r="C5" s="92"/>
      <x:c r="D5" s="93" t="str">
        <x:v>Editable assumptions</x:v>
      </x:c>
      <x:c r="E5" s="93" t="str">
        <x:v>Value</x:v>
      </x:c>
      <x:c r="F5" s="93" t="str">
        <x:v>Purpose</x:v>
      </x:c>
      <x:c r="G5" s="92"/>
      <x:c r="H5" s="92"/>
    </x:row>
    <x:row r="6">
      <x:c r="A6" s="94" t="str">
        <x:v>Launch</x:v>
      </x:c>
      <x:c r="B6" s="95" t="n">
        <x:f>COUNTIF('Product Shortlist'!$B$5:$B$14,A6)</x:f>
        <x:v>5</x:v>
      </x:c>
      <x:c r="C6" s="92"/>
      <x:c r="D6" s="96" t="str">
        <x:v>Payment fee rate</x:v>
      </x:c>
      <x:c r="E6" s="97" t="n">
        <x:v>0.029</x:v>
      </x:c>
      <x:c r="F6" s="98" t="str">
        <x:v>Estimated card-processing rate</x:v>
      </x:c>
      <x:c r="G6" s="92"/>
      <x:c r="H6" s="92"/>
    </x:row>
    <x:row r="7">
      <x:c r="A7" s="99" t="str">
        <x:v>Pilot</x:v>
      </x:c>
      <x:c r="B7" s="100" t="n">
        <x:f>COUNTIF('Product Shortlist'!$B$5:$B$14,A7)</x:f>
        <x:v>2</x:v>
      </x:c>
      <x:c r="C7" s="92"/>
      <x:c r="D7" s="101" t="str">
        <x:v>Payment fee fixed</x:v>
      </x:c>
      <x:c r="E7" s="102" t="n">
        <x:v>0.3</x:v>
      </x:c>
      <x:c r="F7" s="103" t="str">
        <x:v>Estimated fixed processing fee</x:v>
      </x:c>
      <x:c r="G7" s="92"/>
      <x:c r="H7" s="92"/>
    </x:row>
    <x:row r="8">
      <x:c r="A8" s="99" t="str">
        <x:v>Watch</x:v>
      </x:c>
      <x:c r="B8" s="100" t="n">
        <x:f>COUNTIF('Product Shortlist'!$B$5:$B$14,A8)</x:f>
        <x:v>1</x:v>
      </x:c>
      <x:c r="C8" s="92"/>
      <x:c r="D8" s="101" t="str">
        <x:v>Returns reserve</x:v>
      </x:c>
      <x:c r="E8" s="104" t="n">
        <x:v>0.05</x:v>
      </x:c>
      <x:c r="F8" s="103" t="str">
        <x:v>Allowance for returns/refunds</x:v>
      </x:c>
      <x:c r="G8" s="92"/>
      <x:c r="H8" s="92"/>
    </x:row>
    <x:row r="9">
      <x:c r="A9" s="105" t="str">
        <x:v>Avoid</x:v>
      </x:c>
      <x:c r="B9" s="106" t="n">
        <x:f>COUNTIF('Product Shortlist'!$B$5:$B$14,A9)</x:f>
        <x:v>2</x:v>
      </x:c>
      <x:c r="C9" s="92"/>
      <x:c r="D9" s="101" t="str">
        <x:v>Target gross margin</x:v>
      </x:c>
      <x:c r="E9" s="104" t="n">
        <x:v>0.6</x:v>
      </x:c>
      <x:c r="F9" s="103" t="str">
        <x:v>Planning guardrail before activation</x:v>
      </x:c>
      <x:c r="G9" s="92"/>
      <x:c r="H9" s="92"/>
    </x:row>
    <x:row r="10">
      <x:c r="A10" s="92"/>
      <x:c r="B10" s="92"/>
      <x:c r="C10" s="92"/>
      <x:c r="D10" s="101" t="str"/>
      <x:c r="E10" s="107"/>
      <x:c r="F10" s="103" t="str"/>
      <x:c r="G10" s="92"/>
      <x:c r="H10" s="92"/>
    </x:row>
    <x:row r="11">
      <x:c r="A11" s="92"/>
      <x:c r="B11" s="92"/>
      <x:c r="C11" s="92"/>
      <x:c r="D11" s="101" t="str">
        <x:v>Demand weight</x:v>
      </x:c>
      <x:c r="E11" s="104" t="n">
        <x:v>0.25</x:v>
      </x:c>
      <x:c r="F11" s="103" t="str">
        <x:v>Weighted-score input</x:v>
      </x:c>
      <x:c r="G11" s="92"/>
      <x:c r="H11" s="92"/>
    </x:row>
    <x:row r="12">
      <x:c r="A12" s="93" t="str">
        <x:v>Recommended launch order</x:v>
      </x:c>
      <x:c r="B12" s="93" t="str">
        <x:v>Decision</x:v>
      </x:c>
      <x:c r="C12" s="93" t="str">
        <x:v>Score</x:v>
      </x:c>
      <x:c r="D12" s="101" t="str">
        <x:v>Brand-fit weight</x:v>
      </x:c>
      <x:c r="E12" s="104" t="n">
        <x:v>0.25</x:v>
      </x:c>
      <x:c r="F12" s="103" t="str">
        <x:v>Weighted-score input</x:v>
      </x:c>
      <x:c r="G12" s="92"/>
      <x:c r="H12" s="92"/>
    </x:row>
    <x:row r="13">
      <x:c r="A13" s="108" t="str">
        <x:f>'Product Shortlist'!C5</x:f>
        <x:v>Release Cork Mobility Duo</x:v>
      </x:c>
      <x:c r="B13" s="109" t="str">
        <x:f>'Product Shortlist'!B5</x:f>
        <x:v>Launch</x:v>
      </x:c>
      <x:c r="C13" s="110" t="n">
        <x:f>'Product Shortlist'!T5</x:f>
        <x:v>5</x:v>
      </x:c>
      <x:c r="D13" s="101" t="str">
        <x:v>Shipping-ease weight</x:v>
      </x:c>
      <x:c r="E13" s="104" t="n">
        <x:v>0.2</x:v>
      </x:c>
      <x:c r="F13" s="103" t="str">
        <x:v>Weighted-score input</x:v>
      </x:c>
      <x:c r="G13" s="92"/>
      <x:c r="H13" s="92"/>
    </x:row>
    <x:row r="14">
      <x:c r="A14" s="111" t="str">
        <x:f>'Product Shortlist'!C6</x:f>
        <x:v>Form Fabric Loop Set</x:v>
      </x:c>
      <x:c r="B14" s="112" t="str">
        <x:f>'Product Shortlist'!B6</x:f>
        <x:v>Launch</x:v>
      </x:c>
      <x:c r="C14" s="113" t="n">
        <x:f>'Product Shortlist'!T6</x:f>
        <x:v>4.85</x:v>
      </x:c>
      <x:c r="D14" s="101" t="str">
        <x:v>Margin weight</x:v>
      </x:c>
      <x:c r="E14" s="104" t="n">
        <x:v>0.15</x:v>
      </x:c>
      <x:c r="F14" s="103" t="str">
        <x:v>Weighted-score input</x:v>
      </x:c>
      <x:c r="G14" s="92"/>
      <x:c r="H14" s="92"/>
    </x:row>
    <x:row r="15">
      <x:c r="A15" s="111" t="str">
        <x:f>'Product Shortlist'!C7</x:f>
        <x:v>Halo Pilates Starter Kit</x:v>
      </x:c>
      <x:c r="B15" s="112" t="str">
        <x:f>'Product Shortlist'!B7</x:f>
        <x:v>Launch</x:v>
      </x:c>
      <x:c r="C15" s="113" t="n">
        <x:f>'Product Shortlist'!T7</x:f>
        <x:v>4.699999999999999</x:v>
      </x:c>
      <x:c r="D15" s="101" t="str">
        <x:v>Safety weight</x:v>
      </x:c>
      <x:c r="E15" s="104" t="n">
        <x:v>0.15</x:v>
      </x:c>
      <x:c r="F15" s="103" t="str">
        <x:v>Weighted-score input</x:v>
      </x:c>
      <x:c r="G15" s="92"/>
      <x:c r="H15" s="92"/>
    </x:row>
    <x:row r="16">
      <x:c r="A16" s="111" t="str">
        <x:f>'Product Shortlist'!C8</x:f>
        <x:v>Arc Multi-Loop Stretch Strap</x:v>
      </x:c>
      <x:c r="B16" s="112" t="str">
        <x:f>'Product Shortlist'!B8</x:f>
        <x:v>Launch</x:v>
      </x:c>
      <x:c r="C16" s="113" t="n">
        <x:f>'Product Shortlist'!T8</x:f>
        <x:v>4.6</x:v>
      </x:c>
      <x:c r="D16" s="101" t="str">
        <x:v>Launch threshold</x:v>
      </x:c>
      <x:c r="E16" s="114" t="n">
        <x:v>4.5</x:v>
      </x:c>
      <x:c r="F16" s="103" t="str">
        <x:v>Score at or above</x:v>
      </x:c>
      <x:c r="G16" s="92"/>
      <x:c r="H16" s="92"/>
    </x:row>
    <x:row r="17">
      <x:c r="A17" s="115" t="str">
        <x:f>'Product Shortlist'!C9</x:f>
        <x:v>Quiet Core Sliders</x:v>
      </x:c>
      <x:c r="B17" s="116" t="str">
        <x:f>'Product Shortlist'!B9</x:f>
        <x:v>Launch</x:v>
      </x:c>
      <x:c r="C17" s="117" t="n">
        <x:f>'Product Shortlist'!T9</x:f>
        <x:v>4.6</x:v>
      </x:c>
      <x:c r="D17" s="101" t="str">
        <x:v>Pilot threshold</x:v>
      </x:c>
      <x:c r="E17" s="114" t="n">
        <x:v>3.8</x:v>
      </x:c>
      <x:c r="F17" s="103" t="str">
        <x:v>Score at or above</x:v>
      </x:c>
      <x:c r="G17" s="92"/>
      <x:c r="H17" s="92"/>
    </x:row>
    <x:row r="18">
      <x:c r="A18" s="92"/>
      <x:c r="B18" s="92"/>
      <x:c r="C18" s="92"/>
      <x:c r="D18" s="101" t="str">
        <x:v>Watch threshold</x:v>
      </x:c>
      <x:c r="E18" s="114" t="n">
        <x:v>3</x:v>
      </x:c>
      <x:c r="F18" s="103" t="str">
        <x:v>Score at or above</x:v>
      </x:c>
      <x:c r="G18" s="92"/>
      <x:c r="H18" s="92"/>
    </x:row>
    <x:row r="19">
      <x:c r="A19" s="92"/>
      <x:c r="B19" s="92"/>
      <x:c r="C19" s="92"/>
      <x:c r="D19" s="101" t="str">
        <x:v>Avoid if safety score ≤</x:v>
      </x:c>
      <x:c r="E19" s="114" t="n">
        <x:v>1</x:v>
      </x:c>
      <x:c r="F19" s="103" t="str">
        <x:v>Overrides weighted score</x:v>
      </x:c>
      <x:c r="G19" s="92"/>
      <x:c r="H19" s="92"/>
    </x:row>
    <x:row r="20">
      <x:c r="A20" s="92"/>
      <x:c r="B20" s="92"/>
      <x:c r="C20" s="92"/>
      <x:c r="D20" s="118" t="str">
        <x:v>Weight check</x:v>
      </x:c>
      <x:c r="E20" s="119" t="n">
        <x:f>SUM(E11:E15)</x:f>
        <x:v>1</x:v>
      </x:c>
      <x:c r="F20" s="120" t="str">
        <x:v>Must equal 100%</x:v>
      </x:c>
      <x:c r="G20" s="92"/>
      <x:c r="H20" s="92"/>
    </x:row>
    <x:row r="21">
      <x:c r="A21" s="92"/>
      <x:c r="B21" s="92"/>
      <x:c r="C21" s="92"/>
      <x:c r="D21" s="92"/>
      <x:c r="E21" s="92"/>
      <x:c r="F21" s="92"/>
      <x:c r="G21" s="92"/>
      <x:c r="H21" s="92"/>
    </x:row>
    <x:row r="22" ht="42" customHeight="1">
      <x:c r="A22" s="121" t="str">
        <x:v>Recommendation: start with the five Launch concepts, source two suppliers per concept in DSers, order samples, then activate only products that pass the listed quality checks.</x:v>
      </x:c>
      <x:c r="B22" s="121"/>
      <x:c r="C22" s="121"/>
      <x:c r="D22" s="121"/>
      <x:c r="E22" s="121"/>
      <x:c r="F22" s="121"/>
      <x:c r="G22" s="121"/>
      <x:c r="H22" s="121"/>
    </x:row>
    <x:row r="23">
      <x:c r="A23" s="92"/>
      <x:c r="B23" s="92"/>
      <x:c r="C23" s="92"/>
      <x:c r="D23" s="92"/>
      <x:c r="E23" s="92"/>
      <x:c r="F23" s="92"/>
      <x:c r="G23" s="92"/>
      <x:c r="H23" s="92"/>
    </x:row>
    <x:row r="24" ht="26" customHeight="1">
      <x:c r="A24" s="122" t="str">
        <x:v>Important: the prices and landed-cost caps are planning targets, not supplier quotes. Supplier claims and marketplace trend figures must be verified before purchase. For automated stock/order sync, import through DSers and map the supplier; a Shopify CSV alone does not create that mapping.</x:v>
      </x:c>
      <x:c r="B24" s="123"/>
      <x:c r="C24" s="123"/>
      <x:c r="D24" s="123"/>
      <x:c r="E24" s="123"/>
      <x:c r="F24" s="123"/>
      <x:c r="G24" s="123"/>
      <x:c r="H24" s="124"/>
    </x:row>
    <x:row r="25" ht="26" customHeight="1">
      <x:c r="A25" s="125"/>
      <x:c r="B25" s="126"/>
      <x:c r="C25" s="126"/>
      <x:c r="D25" s="126"/>
      <x:c r="E25" s="126"/>
      <x:c r="F25" s="126"/>
      <x:c r="G25" s="126"/>
      <x:c r="H25" s="127"/>
    </x:row>
    <x:row r="26" ht="26" customHeight="1">
      <x:c r="A26" s="128"/>
      <x:c r="B26" s="129"/>
      <x:c r="C26" s="129"/>
      <x:c r="D26" s="129"/>
      <x:c r="E26" s="129"/>
      <x:c r="F26" s="129"/>
      <x:c r="G26" s="129"/>
      <x:c r="H26" s="130"/>
    </x:row>
  </x:sheetData>
  <x:mergeCells>
    <x:mergeCell ref="A1:H2"/>
    <x:mergeCell ref="A3:H3"/>
    <x:mergeCell ref="A22:H22"/>
    <x:mergeCell ref="A24:H26"/>
  </x:mergeCells>
  <x:conditionalFormatting sqref="E20:E20">
    <x:cfRule type="cellIs" dxfId="0" priority="1" operator="notEqual">
      <x:formula>1</x:formula>
    </x:cfRule>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12" hidden="0" customWidth="1"/>
    <x:col min="3" max="3" width="28" hidden="0" customWidth="1"/>
    <x:col min="4" max="4" width="32" hidden="0" customWidth="1"/>
    <x:col min="5" max="5" width="38" hidden="0" customWidth="1"/>
    <x:col min="6" max="6" width="25" hidden="0" customWidth="1"/>
    <x:col min="7" max="7" width="42" hidden="0" customWidth="1"/>
    <x:col min="8" max="8" width="48" hidden="0" customWidth="1"/>
    <x:col min="9" max="9" width="13" hidden="0" customWidth="1"/>
    <x:col min="10" max="10" width="15" hidden="0" customWidth="1"/>
    <x:col min="11" max="11" width="13" hidden="0" customWidth="1"/>
    <x:col min="12" max="12" width="13" hidden="0" customWidth="1"/>
    <x:col min="13" max="13" width="16" hidden="0" customWidth="1"/>
    <x:col min="14" max="14" width="17" hidden="0" customWidth="1"/>
    <x:col min="15" max="15" width="9" hidden="0" customWidth="1"/>
    <x:col min="16" max="16" width="10" hidden="0" customWidth="1"/>
    <x:col min="17" max="17" width="12" hidden="0" customWidth="1"/>
    <x:col min="18" max="18" width="9" hidden="0" customWidth="1"/>
    <x:col min="19" max="19" width="9" hidden="0" customWidth="1"/>
    <x:col min="20" max="20" width="14" hidden="0" customWidth="1"/>
    <x:col min="21" max="21" width="42" hidden="0" customWidth="1"/>
    <x:col min="22" max="22" width="32" hidden="0" customWidth="1"/>
    <x:col min="23" max="23" width="14" hidden="0" customWidth="1"/>
  </x:cols>
  <x:sheetData>
    <x:row r="1">
      <x:c r="A1" s="132" t="str">
        <x:v>Product Shortlist &amp; Unit Economics</x:v>
      </x:c>
      <x:c r="B1" s="132"/>
      <x:c r="C1" s="132"/>
      <x:c r="D1" s="132"/>
      <x:c r="E1" s="132"/>
      <x:c r="F1" s="132"/>
      <x:c r="G1" s="132"/>
      <x:c r="H1" s="132"/>
      <x:c r="I1" s="132"/>
      <x:c r="J1" s="132"/>
      <x:c r="K1" s="132"/>
      <x:c r="L1" s="132"/>
      <x:c r="M1" s="132"/>
      <x:c r="N1" s="132"/>
      <x:c r="O1" s="132"/>
      <x:c r="P1" s="132"/>
      <x:c r="Q1" s="132"/>
      <x:c r="R1" s="132"/>
      <x:c r="S1" s="132"/>
      <x:c r="T1" s="132"/>
      <x:c r="U1" s="132"/>
      <x:c r="V1" s="132"/>
      <x:c r="W1" s="132"/>
    </x:row>
    <x:row r="2">
      <x:c r="A2" s="132"/>
      <x:c r="B2" s="132"/>
      <x:c r="C2" s="132"/>
      <x:c r="D2" s="132"/>
      <x:c r="E2" s="132"/>
      <x:c r="F2" s="132"/>
      <x:c r="G2" s="132"/>
      <x:c r="H2" s="132"/>
      <x:c r="I2" s="132"/>
      <x:c r="J2" s="132"/>
      <x:c r="K2" s="132"/>
      <x:c r="L2" s="132"/>
      <x:c r="M2" s="132"/>
      <x:c r="N2" s="132"/>
      <x:c r="O2" s="132"/>
      <x:c r="P2" s="132"/>
      <x:c r="Q2" s="132"/>
      <x:c r="R2" s="132"/>
      <x:c r="S2" s="132"/>
      <x:c r="T2" s="132"/>
      <x:c r="U2" s="132"/>
      <x:c r="V2" s="132"/>
      <x:c r="W2" s="132"/>
    </x:row>
    <x:row r="3">
      <x:c r="A3" s="151" t="str">
        <x:v>Yellow cells are editable. Scores use a 1–5 scale; landed cost should include supplier price, delivery, duty, and packaging.</x:v>
      </x:c>
      <x:c r="B3" s="151"/>
      <x:c r="C3" s="151"/>
      <x:c r="D3" s="151"/>
      <x:c r="E3" s="151"/>
      <x:c r="F3" s="151"/>
      <x:c r="G3" s="151"/>
      <x:c r="H3" s="151"/>
      <x:c r="I3" s="151"/>
      <x:c r="J3" s="151"/>
      <x:c r="K3" s="151"/>
      <x:c r="L3" s="151"/>
      <x:c r="M3" s="151"/>
      <x:c r="N3" s="151"/>
      <x:c r="O3" s="151"/>
      <x:c r="P3" s="151"/>
      <x:c r="Q3" s="151"/>
      <x:c r="R3" s="151"/>
      <x:c r="S3" s="151"/>
      <x:c r="T3" s="151"/>
      <x:c r="U3" s="151"/>
      <x:c r="V3" s="151"/>
      <x:c r="W3" s="151"/>
    </x:row>
    <x:row r="4" ht="48" customHeight="1">
      <x:c r="A4" s="93" t="str">
        <x:v>Rank</x:v>
      </x:c>
      <x:c r="B4" s="93" t="str">
        <x:v>Decision</x:v>
      </x:c>
      <x:c r="C4" s="93" t="str">
        <x:v>Product concept</x:v>
      </x:c>
      <x:c r="D4" s="93" t="str">
        <x:v>DSers / AliExpress search phrase</x:v>
      </x:c>
      <x:c r="E4" s="93" t="str">
        <x:v>Trend evidence</x:v>
      </x:c>
      <x:c r="F4" s="93" t="str">
        <x:v>Target customer</x:v>
      </x:c>
      <x:c r="G4" s="93" t="str">
        <x:v>Required specs</x:v>
      </x:c>
      <x:c r="H4" s="93" t="str">
        <x:v>Supplier checks</x:v>
      </x:c>
      <x:c r="I4" s="93" t="str">
        <x:v>Retail price</x:v>
      </x:c>
      <x:c r="J4" s="93" t="str">
        <x:v>Landed cost cap</x:v>
      </x:c>
      <x:c r="K4" s="93" t="str">
        <x:v>Gross profit</x:v>
      </x:c>
      <x:c r="L4" s="93" t="str">
        <x:v>Gross margin</x:v>
      </x:c>
      <x:c r="M4" s="93" t="str">
        <x:v>Est. contribution</x:v>
      </x:c>
      <x:c r="N4" s="93" t="str">
        <x:v>Contribution margin</x:v>
      </x:c>
      <x:c r="O4" s="93" t="str">
        <x:v>Demand</x:v>
      </x:c>
      <x:c r="P4" s="93" t="str">
        <x:v>Brand fit</x:v>
      </x:c>
      <x:c r="Q4" s="93" t="str">
        <x:v>Shipping ease</x:v>
      </x:c>
      <x:c r="R4" s="93" t="str">
        <x:v>Margin</x:v>
      </x:c>
      <x:c r="S4" s="93" t="str">
        <x:v>Safety</x:v>
      </x:c>
      <x:c r="T4" s="93" t="str">
        <x:v>Weighted score</x:v>
      </x:c>
      <x:c r="U4" s="93" t="str">
        <x:v>Source URL</x:v>
      </x:c>
      <x:c r="V4" s="93" t="str">
        <x:v>Chosen supplier URL</x:v>
      </x:c>
      <x:c r="W4" s="93" t="str">
        <x:v>Sample status</x:v>
      </x:c>
    </x:row>
    <x:row r="5" ht="88" customHeight="1">
      <x:c r="A5" s="152" t="n">
        <x:f>RANK.EQ(T5,$T$5:$T$14,0)</x:f>
        <x:v>1</x:v>
      </x:c>
      <x:c r="B5" s="153" t="str">
        <x:f>IF(S5&lt;='Executive Summary'!$E$19,"Avoid",IF(T5&gt;='Executive Summary'!$E$16,"Launch",IF(T5&gt;='Executive Summary'!$E$17,"Pilot",IF(T5&gt;='Executive Summary'!$E$18,"Watch","Avoid"))))</x:f>
        <x:v>Launch</x:v>
      </x:c>
      <x:c r="C5" s="154" t="str">
        <x:v>Release Cork Mobility Duo</x:v>
      </x:c>
      <x:c r="D5" s="154" t="str">
        <x:v>cork massage ball peanut mobility set</x:v>
      </x:c>
      <x:c r="E5" s="154" t="str">
        <x:v>Alibaba platform: massage balls +125.6% MoM and the highest opportunity rate in rehabilitation accessories.</x:v>
      </x:c>
      <x:c r="F5" s="154" t="str">
        <x:v>Home movers, runners, desk workers</x:v>
      </x:c>
      <x:c r="G5" s="154" t="str">
        <x:v>Natural cork; 6–7 cm ball plus peanut; firm density; wipe-clean; compact pouch</x:v>
      </x:c>
      <x:c r="H5" s="154" t="str">
        <x:v>No crumbling or strong odor; size tolerance; photo reviews; unbranded; delivered-US quote; supplier rating and order history</x:v>
      </x:c>
      <x:c r="I5" s="155" t="n">
        <x:v>34</x:v>
      </x:c>
      <x:c r="J5" s="155" t="n">
        <x:v>9</x:v>
      </x:c>
      <x:c r="K5" s="156" t="n">
        <x:f>I5-J5</x:f>
        <x:v>25</x:v>
      </x:c>
      <x:c r="L5" s="157" t="n">
        <x:f>IFERROR(K5/I5,0)</x:f>
        <x:v>0.7352941176470589</x:v>
      </x:c>
      <x:c r="M5" s="156" t="n">
        <x:f>I5-J5-(I5*'Executive Summary'!$E$6+'Executive Summary'!$E$7)-(I5*'Executive Summary'!$E$8)</x:f>
        <x:v>22.014</x:v>
      </x:c>
      <x:c r="N5" s="157" t="n">
        <x:f>IFERROR(M5/I5,0)</x:f>
        <x:v>0.6474705882352941</x:v>
      </x:c>
      <x:c r="O5" s="158" t="n">
        <x:v>5</x:v>
      </x:c>
      <x:c r="P5" s="158" t="n">
        <x:v>5</x:v>
      </x:c>
      <x:c r="Q5" s="158" t="n">
        <x:v>5</x:v>
      </x:c>
      <x:c r="R5" s="158" t="n">
        <x:v>5</x:v>
      </x:c>
      <x:c r="S5" s="158" t="n">
        <x:v>5</x:v>
      </x:c>
      <x:c r="T5" s="159" t="n">
        <x:f>O5*'Executive Summary'!$E$11+P5*'Executive Summary'!$E$12+Q5*'Executive Summary'!$E$13+R5*'Executive Summary'!$E$14+S5*'Executive Summary'!$E$15</x:f>
        <x:v>5</x:v>
      </x:c>
      <x:c r="U5" s="154" t="str">
        <x:v>https://seller.alibaba.com/blogs/2026/southeast-asia/sports-rehabilitation-accessories/export-strategy-white-paper</x:v>
      </x:c>
      <x:c r="V5" s="160" t="str"/>
      <x:c r="W5" s="160" t="str">
        <x:v>Not Started</x:v>
      </x:c>
    </x:row>
    <x:row r="6" ht="88" customHeight="1">
      <x:c r="A6" s="152" t="n">
        <x:f>RANK.EQ(T6,$T$5:$T$14,0)</x:f>
        <x:v>2</x:v>
      </x:c>
      <x:c r="B6" s="153" t="str">
        <x:f>IF(S6&lt;='Executive Summary'!$E$19,"Avoid",IF(T6&gt;='Executive Summary'!$E$16,"Launch",IF(T6&gt;='Executive Summary'!$E$17,"Pilot",IF(T6&gt;='Executive Summary'!$E$18,"Watch","Avoid"))))</x:f>
        <x:v>Launch</x:v>
      </x:c>
      <x:c r="C6" s="154" t="str">
        <x:v>Form Fabric Loop Set</x:v>
      </x:c>
      <x:c r="D6" s="154" t="str">
        <x:v>fabric resistance loop bands 3 levels storage bag</x:v>
      </x:c>
      <x:c r="E6" s="154" t="str">
        <x:v>Alibaba platform: resistance-band buyers +48.23% YoY; fabric bands are a fast-growing material segment.</x:v>
      </x:c>
      <x:c r="F6" s="154" t="str">
        <x:v>Beginners and strength-focused home users</x:v>
      </x:c>
      <x:c r="G6" s="154" t="str">
        <x:v>Three woven loops; clearly labeled light/medium/heavy; reinforced seams; non-slip inner weave; storage pouch</x:v>
      </x:c>
      <x:c r="H6" s="154" t="str">
        <x:v>Resistance within ±10%; seam-cycle test; skin-contact material disclosure; latex disclosure; wash test; no copied logos</x:v>
      </x:c>
      <x:c r="I6" s="155" t="n">
        <x:v>39</x:v>
      </x:c>
      <x:c r="J6" s="155" t="n">
        <x:v>11</x:v>
      </x:c>
      <x:c r="K6" s="156" t="n">
        <x:f>I6-J6</x:f>
        <x:v>28</x:v>
      </x:c>
      <x:c r="L6" s="157" t="n">
        <x:f>IFERROR(K6/I6,0)</x:f>
        <x:v>0.717948717948718</x:v>
      </x:c>
      <x:c r="M6" s="156" t="n">
        <x:f>I6-J6-(I6*'Executive Summary'!$E$6+'Executive Summary'!$E$7)-(I6*'Executive Summary'!$E$8)</x:f>
        <x:v>24.619</x:v>
      </x:c>
      <x:c r="N6" s="157" t="n">
        <x:f>IFERROR(M6/I6,0)</x:f>
        <x:v>0.6312564102564102</x:v>
      </x:c>
      <x:c r="O6" s="158" t="n">
        <x:v>5</x:v>
      </x:c>
      <x:c r="P6" s="158" t="n">
        <x:v>5</x:v>
      </x:c>
      <x:c r="Q6" s="158" t="n">
        <x:v>5</x:v>
      </x:c>
      <x:c r="R6" s="158" t="n">
        <x:v>5</x:v>
      </x:c>
      <x:c r="S6" s="158" t="n">
        <x:v>4</x:v>
      </x:c>
      <x:c r="T6" s="159" t="n">
        <x:f>O6*'Executive Summary'!$E$11+P6*'Executive Summary'!$E$12+Q6*'Executive Summary'!$E$13+R6*'Executive Summary'!$E$14+S6*'Executive Summary'!$E$15</x:f>
        <x:v>4.85</x:v>
      </x:c>
      <x:c r="U6" s="154" t="str">
        <x:v>https://seller.alibaba.com/blogs/2026/southeast-asia/fitness-equipment/resistance-bands-configuration-guide-alibaba-b2b</x:v>
      </x:c>
      <x:c r="V6" s="160" t="str"/>
      <x:c r="W6" s="160" t="str">
        <x:v>Not Started</x:v>
      </x:c>
    </x:row>
    <x:row r="7" ht="88" customHeight="1">
      <x:c r="A7" s="152" t="n">
        <x:f>RANK.EQ(T7,$T$5:$T$14,0)</x:f>
        <x:v>3</x:v>
      </x:c>
      <x:c r="B7" s="153" t="str">
        <x:f>IF(S7&lt;='Executive Summary'!$E$19,"Avoid",IF(T7&gt;='Executive Summary'!$E$16,"Launch",IF(T7&gt;='Executive Summary'!$E$17,"Pilot",IF(T7&gt;='Executive Summary'!$E$18,"Watch","Avoid"))))</x:f>
        <x:v>Launch</x:v>
      </x:c>
      <x:c r="C7" s="154" t="str">
        <x:v>Halo Pilates Starter Kit</x:v>
      </x:c>
      <x:c r="D7" s="154" t="str">
        <x:v>pilates ring mini ball core sliders storage bag</x:v>
      </x:c>
      <x:c r="E7" s="154" t="str">
        <x:v>Alibaba platform: Pilates accessories +349%; eco Pilates-ring searches +215% in Q4 2025.</x:v>
      </x:c>
      <x:c r="F7" s="154" t="str">
        <x:v>Pilates beginners and small-space exercisers</x:v>
      </x:c>
      <x:c r="G7" s="154" t="str">
        <x:v>Padded 30–38 cm ring; anti-burst mini ball; dual-surface sliders; neutral pouch; simple instruction card</x:v>
      </x:c>
      <x:c r="H7" s="154" t="str">
        <x:v>Ring compression-cycle report; consistent resistance; mini-ball burst rating; slider scratch test; neutral branding; sample all parts</x:v>
      </x:c>
      <x:c r="I7" s="155" t="n">
        <x:v>49</x:v>
      </x:c>
      <x:c r="J7" s="155" t="n">
        <x:v>15</x:v>
      </x:c>
      <x:c r="K7" s="156" t="n">
        <x:f>I7-J7</x:f>
        <x:v>34</x:v>
      </x:c>
      <x:c r="L7" s="157" t="n">
        <x:f>IFERROR(K7/I7,0)</x:f>
        <x:v>0.6938775510204082</x:v>
      </x:c>
      <x:c r="M7" s="156" t="n">
        <x:f>I7-J7-(I7*'Executive Summary'!$E$6+'Executive Summary'!$E$7)-(I7*'Executive Summary'!$E$8)</x:f>
        <x:v>29.828999999999997</x:v>
      </x:c>
      <x:c r="N7" s="157" t="n">
        <x:f>IFERROR(M7/I7,0)</x:f>
        <x:v>0.6087551020408163</x:v>
      </x:c>
      <x:c r="O7" s="158" t="n">
        <x:v>5</x:v>
      </x:c>
      <x:c r="P7" s="158" t="n">
        <x:v>5</x:v>
      </x:c>
      <x:c r="Q7" s="158" t="n">
        <x:v>5</x:v>
      </x:c>
      <x:c r="R7" s="158" t="n">
        <x:v>4</x:v>
      </x:c>
      <x:c r="S7" s="158" t="n">
        <x:v>4</x:v>
      </x:c>
      <x:c r="T7" s="159" t="n">
        <x:f>O7*'Executive Summary'!$E$11+P7*'Executive Summary'!$E$12+Q7*'Executive Summary'!$E$13+R7*'Executive Summary'!$E$14+S7*'Executive Summary'!$E$15</x:f>
        <x:v>4.699999999999999</x:v>
      </x:c>
      <x:c r="U7" s="154" t="str">
        <x:v>https://seller.alibaba.com/blogs/2026/southeast-asia/sports-fitness/yoga-pilates-europe-opportunity-alibaba</x:v>
      </x:c>
      <x:c r="V7" s="160" t="str"/>
      <x:c r="W7" s="160" t="str">
        <x:v>Not Started</x:v>
      </x:c>
    </x:row>
    <x:row r="8" ht="88" customHeight="1">
      <x:c r="A8" s="152" t="n">
        <x:f>RANK.EQ(T8,$T$5:$T$14,0)</x:f>
        <x:v>4</x:v>
      </x:c>
      <x:c r="B8" s="153" t="str">
        <x:f>IF(S8&lt;='Executive Summary'!$E$19,"Avoid",IF(T8&gt;='Executive Summary'!$E$16,"Launch",IF(T8&gt;='Executive Summary'!$E$17,"Pilot",IF(T8&gt;='Executive Summary'!$E$18,"Watch","Avoid"))))</x:f>
        <x:v>Launch</x:v>
      </x:c>
      <x:c r="C8" s="154" t="str">
        <x:v>Arc Multi-Loop Stretch Strap</x:v>
      </x:c>
      <x:c r="D8" s="154" t="str">
        <x:v>multi loop stretch strap pilates yoga woven</x:v>
      </x:c>
      <x:c r="E8" s="154" t="str">
        <x:v>Pilates accessories—including rings, straps, and sliders—showed +349% platform demand growth.</x:v>
      </x:c>
      <x:c r="F8" s="154" t="str">
        <x:v>Mobility routines, beginners, travel</x:v>
      </x:c>
      <x:c r="G8" s="154" t="str">
        <x:v>Eight or more stitched loops; soft woven polyester; 180–200 cm; numbered loops; storage band</x:v>
      </x:c>
      <x:c r="H8" s="154" t="str">
        <x:v>Bar-tack stitching; tensile-test evidence; colorfastness; edge-fray test; state clearly that it is not for suspension</x:v>
      </x:c>
      <x:c r="I8" s="155" t="n">
        <x:v>29</x:v>
      </x:c>
      <x:c r="J8" s="155" t="n">
        <x:v>8</x:v>
      </x:c>
      <x:c r="K8" s="156" t="n">
        <x:f>I8-J8</x:f>
        <x:v>21</x:v>
      </x:c>
      <x:c r="L8" s="157" t="n">
        <x:f>IFERROR(K8/I8,0)</x:f>
        <x:v>0.7241379310344828</x:v>
      </x:c>
      <x:c r="M8" s="156" t="n">
        <x:f>I8-J8-(I8*'Executive Summary'!$E$6+'Executive Summary'!$E$7)-(I8*'Executive Summary'!$E$8)</x:f>
        <x:v>18.409000000000002</x:v>
      </x:c>
      <x:c r="N8" s="157" t="n">
        <x:f>IFERROR(M8/I8,0)</x:f>
        <x:v>0.634793103448276</x:v>
      </x:c>
      <x:c r="O8" s="158" t="n">
        <x:v>4</x:v>
      </x:c>
      <x:c r="P8" s="158" t="n">
        <x:v>5</x:v>
      </x:c>
      <x:c r="Q8" s="158" t="n">
        <x:v>5</x:v>
      </x:c>
      <x:c r="R8" s="158" t="n">
        <x:v>5</x:v>
      </x:c>
      <x:c r="S8" s="158" t="n">
        <x:v>4</x:v>
      </x:c>
      <x:c r="T8" s="159" t="n">
        <x:f>O8*'Executive Summary'!$E$11+P8*'Executive Summary'!$E$12+Q8*'Executive Summary'!$E$13+R8*'Executive Summary'!$E$14+S8*'Executive Summary'!$E$15</x:f>
        <x:v>4.6</x:v>
      </x:c>
      <x:c r="U8" s="154" t="str">
        <x:v>https://seller.alibaba.com/blogs/2026/southeast-asia/sports-fitness/yoga-pilates-europe-opportunity-alibaba</x:v>
      </x:c>
      <x:c r="V8" s="160" t="str"/>
      <x:c r="W8" s="160" t="str">
        <x:v>Not Started</x:v>
      </x:c>
    </x:row>
    <x:row r="9" ht="88" customHeight="1">
      <x:c r="A9" s="152" t="n">
        <x:f>RANK.EQ(T9,$T$5:$T$14,0)</x:f>
        <x:v>4</x:v>
      </x:c>
      <x:c r="B9" s="153" t="str">
        <x:f>IF(S9&lt;='Executive Summary'!$E$19,"Avoid",IF(T9&gt;='Executive Summary'!$E$16,"Launch",IF(T9&gt;='Executive Summary'!$E$17,"Pilot",IF(T9&gt;='Executive Summary'!$E$18,"Watch","Avoid"))))</x:f>
        <x:v>Launch</x:v>
      </x:c>
      <x:c r="C9" s="154" t="str">
        <x:v>Quiet Core Sliders</x:v>
      </x:c>
      <x:c r="D9" s="154" t="str">
        <x:v>dual sided core sliders carpet hardwood pilates</x:v>
      </x:c>
      <x:c r="E9" s="154" t="str">
        <x:v>Sliders are included in Alibaba's fastest-growing Pilates-accessory cluster (+349%).</x:v>
      </x:c>
      <x:c r="F9" s="154" t="str">
        <x:v>Apartment workouts and short core sessions</x:v>
      </x:c>
      <x:c r="G9" s="154" t="str">
        <x:v>Pair of 17–18 cm discs; low-profile ABS core; fabric side for hard floors; EVA side for carpet</x:v>
      </x:c>
      <x:c r="H9" s="154" t="str">
        <x:v>Scratch test on wood; edge durability; odor check; even pair sizing; no sharp molding; delivered-US quote</x:v>
      </x:c>
      <x:c r="I9" s="155" t="n">
        <x:v>24</x:v>
      </x:c>
      <x:c r="J9" s="155" t="n">
        <x:v>6</x:v>
      </x:c>
      <x:c r="K9" s="156" t="n">
        <x:f>I9-J9</x:f>
        <x:v>18</x:v>
      </x:c>
      <x:c r="L9" s="157" t="n">
        <x:f>IFERROR(K9/I9,0)</x:f>
        <x:v>0.75</x:v>
      </x:c>
      <x:c r="M9" s="156" t="n">
        <x:f>I9-J9-(I9*'Executive Summary'!$E$6+'Executive Summary'!$E$7)-(I9*'Executive Summary'!$E$8)</x:f>
        <x:v>15.804000000000002</x:v>
      </x:c>
      <x:c r="N9" s="157" t="n">
        <x:f>IFERROR(M9/I9,0)</x:f>
        <x:v>0.6585000000000001</x:v>
      </x:c>
      <x:c r="O9" s="158" t="n">
        <x:v>4</x:v>
      </x:c>
      <x:c r="P9" s="158" t="n">
        <x:v>5</x:v>
      </x:c>
      <x:c r="Q9" s="158" t="n">
        <x:v>5</x:v>
      </x:c>
      <x:c r="R9" s="158" t="n">
        <x:v>5</x:v>
      </x:c>
      <x:c r="S9" s="158" t="n">
        <x:v>4</x:v>
      </x:c>
      <x:c r="T9" s="159" t="n">
        <x:f>O9*'Executive Summary'!$E$11+P9*'Executive Summary'!$E$12+Q9*'Executive Summary'!$E$13+R9*'Executive Summary'!$E$14+S9*'Executive Summary'!$E$15</x:f>
        <x:v>4.6</x:v>
      </x:c>
      <x:c r="U9" s="154" t="str">
        <x:v>https://seller.alibaba.com/blogs/2026/southeast-asia/sports-fitness/yoga-pilates-europe-opportunity-alibaba</x:v>
      </x:c>
      <x:c r="V9" s="160" t="str"/>
      <x:c r="W9" s="160" t="str">
        <x:v>Not Started</x:v>
      </x:c>
    </x:row>
    <x:row r="10" ht="88" customHeight="1">
      <x:c r="A10" s="152" t="n">
        <x:f>RANK.EQ(T10,$T$5:$T$14,0)</x:f>
        <x:v>6</x:v>
      </x:c>
      <x:c r="B10" s="153" t="str">
        <x:f>IF(S10&lt;='Executive Summary'!$E$19,"Avoid",IF(T10&gt;='Executive Summary'!$E$16,"Launch",IF(T10&gt;='Executive Summary'!$E$17,"Pilot",IF(T10&gt;='Executive Summary'!$E$18,"Watch","Avoid"))))</x:f>
        <x:v>Pilot</x:v>
      </x:c>
      <x:c r="C10" s="154" t="str">
        <x:v>Studio Grip Socks — 2 Pack</x:v>
      </x:c>
      <x:c r="D10" s="154" t="str">
        <x:v>pilates grip socks non slip neutral 2 pack</x:v>
      </x:c>
      <x:c r="E10" s="154" t="str">
        <x:v>Shopify's 2026 trend list highlights Pilates grip socks and other lightweight Pilates accessories.</x:v>
      </x:c>
      <x:c r="F10" s="154" t="str">
        <x:v>Pilates and barre customers</x:v>
      </x:c>
      <x:c r="G10" s="154" t="str">
        <x:v>Two neutral pairs; silicone sole grip; breathable blend; inclusive size range; recyclable sleeve</x:v>
      </x:c>
      <x:c r="H10" s="154" t="str">
        <x:v>Wash-cycle grip retention; fiber composition; size accuracy; colorfastness; hygiene packaging; no counterfeit branding</x:v>
      </x:c>
      <x:c r="I10" s="155" t="n">
        <x:v>29</x:v>
      </x:c>
      <x:c r="J10" s="155" t="n">
        <x:v>8.5</x:v>
      </x:c>
      <x:c r="K10" s="156" t="n">
        <x:f>I10-J10</x:f>
        <x:v>20.5</x:v>
      </x:c>
      <x:c r="L10" s="157" t="n">
        <x:f>IFERROR(K10/I10,0)</x:f>
        <x:v>0.7068965517241379</x:v>
      </x:c>
      <x:c r="M10" s="156" t="n">
        <x:f>I10-J10-(I10*'Executive Summary'!$E$6+'Executive Summary'!$E$7)-(I10*'Executive Summary'!$E$8)</x:f>
        <x:v>17.909000000000002</x:v>
      </x:c>
      <x:c r="N10" s="157" t="n">
        <x:f>IFERROR(M10/I10,0)</x:f>
        <x:v>0.6175517241379311</x:v>
      </x:c>
      <x:c r="O10" s="158" t="n">
        <x:v>4</x:v>
      </x:c>
      <x:c r="P10" s="158" t="n">
        <x:v>4</x:v>
      </x:c>
      <x:c r="Q10" s="158" t="n">
        <x:v>5</x:v>
      </x:c>
      <x:c r="R10" s="158" t="n">
        <x:v>4</x:v>
      </x:c>
      <x:c r="S10" s="158" t="n">
        <x:v>4</x:v>
      </x:c>
      <x:c r="T10" s="159" t="n">
        <x:f>O10*'Executive Summary'!$E$11+P10*'Executive Summary'!$E$12+Q10*'Executive Summary'!$E$13+R10*'Executive Summary'!$E$14+S10*'Executive Summary'!$E$15</x:f>
        <x:v>4.2</x:v>
      </x:c>
      <x:c r="U10" s="154" t="str">
        <x:v>https://www.shopify.com/de/blog/trend-produkte-verkaufen</x:v>
      </x:c>
      <x:c r="V10" s="160" t="str"/>
      <x:c r="W10" s="160" t="str">
        <x:v>Not Started</x:v>
      </x:c>
    </x:row>
    <x:row r="11" ht="88" customHeight="1">
      <x:c r="A11" s="152" t="n">
        <x:f>RANK.EQ(T11,$T$5:$T$14,0)</x:f>
        <x:v>7</x:v>
      </x:c>
      <x:c r="B11" s="153" t="str">
        <x:f>IF(S11&lt;='Executive Summary'!$E$19,"Avoid",IF(T11&gt;='Executive Summary'!$E$16,"Launch",IF(T11&gt;='Executive Summary'!$E$17,"Pilot",IF(T11&gt;='Executive Summary'!$E$18,"Watch","Avoid"))))</x:f>
        <x:v>Pilot</x:v>
      </x:c>
      <x:c r="C11" s="154" t="str">
        <x:v>Anchor Soft Wrist &amp; Ankle Weights</x:v>
      </x:c>
      <x:c r="D11" s="154" t="str">
        <x:v>soft adjustable wrist ankle weights pair walking</x:v>
      </x:c>
      <x:c r="E11" s="154" t="str">
        <x:v>At-home fitness and recovery remain a 2026 wellness theme; compact wearable resistance fits the KINROW range.</x:v>
      </x:c>
      <x:c r="F11" s="154" t="str">
        <x:v>Walking, light strength, short home sessions</x:v>
      </x:c>
      <x:c r="G11" s="154" t="str">
        <x:v>Soft adjustable pair; clearly state weight per item and per pair; secure low-profile closure; neutral textile shell</x:v>
      </x:c>
      <x:c r="H11" s="154" t="str">
        <x:v>Weight tolerance ±5%; closure-cycle test; leak/tear test; skin-contact materials; pair labeling; local-warehouse preference</x:v>
      </x:c>
      <x:c r="I11" s="155" t="n">
        <x:v>59</x:v>
      </x:c>
      <x:c r="J11" s="155" t="n">
        <x:v>20</x:v>
      </x:c>
      <x:c r="K11" s="156" t="n">
        <x:f>I11-J11</x:f>
        <x:v>39</x:v>
      </x:c>
      <x:c r="L11" s="157" t="n">
        <x:f>IFERROR(K11/I11,0)</x:f>
        <x:v>0.6610169491525424</x:v>
      </x:c>
      <x:c r="M11" s="156" t="n">
        <x:f>I11-J11-(I11*'Executive Summary'!$E$6+'Executive Summary'!$E$7)-(I11*'Executive Summary'!$E$8)</x:f>
        <x:v>34.038999999999994</x:v>
      </x:c>
      <x:c r="N11" s="157" t="n">
        <x:f>IFERROR(M11/I11,0)</x:f>
        <x:v>0.5769322033898304</x:v>
      </x:c>
      <x:c r="O11" s="158" t="n">
        <x:v>4</x:v>
      </x:c>
      <x:c r="P11" s="158" t="n">
        <x:v>5</x:v>
      </x:c>
      <x:c r="Q11" s="158" t="n">
        <x:v>3</x:v>
      </x:c>
      <x:c r="R11" s="158" t="n">
        <x:v>4</x:v>
      </x:c>
      <x:c r="S11" s="158" t="n">
        <x:v>4</x:v>
      </x:c>
      <x:c r="T11" s="159" t="n">
        <x:f>O11*'Executive Summary'!$E$11+P11*'Executive Summary'!$E$12+Q11*'Executive Summary'!$E$13+R11*'Executive Summary'!$E$14+S11*'Executive Summary'!$E$15</x:f>
        <x:v>4.05</x:v>
      </x:c>
      <x:c r="U11" s="154" t="str">
        <x:v>https://www.shopify.com/enterprise/blog/health-wellness-trends</x:v>
      </x:c>
      <x:c r="V11" s="160" t="str"/>
      <x:c r="W11" s="160" t="str">
        <x:v>Not Started</x:v>
      </x:c>
    </x:row>
    <x:row r="12" ht="88" customHeight="1">
      <x:c r="A12" s="152" t="n">
        <x:f>RANK.EQ(T12,$T$5:$T$14,0)</x:f>
        <x:v>9</x:v>
      </x:c>
      <x:c r="B12" s="153" t="str">
        <x:f>IF(S12&lt;='Executive Summary'!$E$19,"Avoid",IF(T12&gt;='Executive Summary'!$E$16,"Launch",IF(T12&gt;='Executive Summary'!$E$17,"Pilot",IF(T12&gt;='Executive Summary'!$E$18,"Watch","Avoid"))))</x:f>
        <x:v>Watch</x:v>
      </x:c>
      <x:c r="C12" s="154" t="str">
        <x:v>Compact Mini Stepper with Bands</x:v>
      </x:c>
      <x:c r="D12" s="154" t="str">
        <x:v>mini stepper resistance bands quiet hydraulic</x:v>
      </x:c>
      <x:c r="E12" s="154" t="str">
        <x:v>Shopify's 2026 trend list calls out mini steppers for small apartments and short home workouts.</x:v>
      </x:c>
      <x:c r="F12" s="154" t="str">
        <x:v>Customers wanting short cardio sessions</x:v>
      </x:c>
      <x:c r="G12" s="154" t="str">
        <x:v>Quiet hydraulics; stable pedals; resistance-band option; clear maximum-user weight; compact footprint</x:v>
      </x:c>
      <x:c r="H12" s="154" t="str">
        <x:v>Prefer US warehouse; certification and load testing; hydraulic leak rate; noise test; replacement parts; returns allowance</x:v>
      </x:c>
      <x:c r="I12" s="155" t="n">
        <x:v>119</x:v>
      </x:c>
      <x:c r="J12" s="155" t="n">
        <x:v>52</x:v>
      </x:c>
      <x:c r="K12" s="156" t="n">
        <x:f>I12-J12</x:f>
        <x:v>67</x:v>
      </x:c>
      <x:c r="L12" s="157" t="n">
        <x:f>IFERROR(K12/I12,0)</x:f>
        <x:v>0.5630252100840336</x:v>
      </x:c>
      <x:c r="M12" s="156" t="n">
        <x:f>I12-J12-(I12*'Executive Summary'!$E$6+'Executive Summary'!$E$7)-(I12*'Executive Summary'!$E$8)</x:f>
        <x:v>57.299</x:v>
      </x:c>
      <x:c r="N12" s="157" t="n">
        <x:f>IFERROR(M12/I12,0)</x:f>
        <x:v>0.48150420168067226</x:v>
      </x:c>
      <x:c r="O12" s="158" t="n">
        <x:v>5</x:v>
      </x:c>
      <x:c r="P12" s="158" t="n">
        <x:v>4</x:v>
      </x:c>
      <x:c r="Q12" s="158" t="n">
        <x:v>1</x:v>
      </x:c>
      <x:c r="R12" s="158" t="n">
        <x:v>3</x:v>
      </x:c>
      <x:c r="S12" s="158" t="n">
        <x:v>2</x:v>
      </x:c>
      <x:c r="T12" s="159" t="n">
        <x:f>O12*'Executive Summary'!$E$11+P12*'Executive Summary'!$E$12+Q12*'Executive Summary'!$E$13+R12*'Executive Summary'!$E$14+S12*'Executive Summary'!$E$15</x:f>
        <x:v>3.2</x:v>
      </x:c>
      <x:c r="U12" s="154" t="str">
        <x:v>https://www.shopify.com/de/blog/trend-produkte-verkaufen</x:v>
      </x:c>
      <x:c r="V12" s="160" t="str"/>
      <x:c r="W12" s="160" t="str">
        <x:v>Not Started</x:v>
      </x:c>
    </x:row>
    <x:row r="13" ht="88" customHeight="1">
      <x:c r="A13" s="152" t="n">
        <x:f>RANK.EQ(T13,$T$5:$T$14,0)</x:f>
        <x:v>8</x:v>
      </x:c>
      <x:c r="B13" s="153" t="str">
        <x:f>IF(S13&lt;='Executive Summary'!$E$19,"Avoid",IF(T13&gt;='Executive Summary'!$E$16,"Launch",IF(T13&gt;='Executive Summary'!$E$17,"Pilot",IF(T13&gt;='Executive Summary'!$E$18,"Watch","Avoid"))))</x:f>
        <x:v>Avoid</x:v>
      </x:c>
      <x:c r="C13" s="154" t="str">
        <x:v>Foldable Pilates Reformer Board</x:v>
      </x:c>
      <x:c r="D13" s="154" t="str">
        <x:v>foldable pilates reformer board home</x:v>
      </x:c>
      <x:c r="E13" s="154" t="str">
        <x:v>Alibaba platform: home-reformer searches +210%, but buyers explicitly reject unsafe budget boards.</x:v>
      </x:c>
      <x:c r="F13" s="154" t="str">
        <x:v>Trend-driven home Pilates buyers</x:v>
      </x:c>
      <x:c r="G13" s="154" t="str">
        <x:v>Only consider independently load-tested units with lockout protection, clear instructions, and parts support</x:v>
      </x:c>
      <x:c r="H13" s="154" t="str">
        <x:v>Do not source without verifiable structural testing, product-liability review, local returns, and a passed sample stress test</x:v>
      </x:c>
      <x:c r="I13" s="155" t="n">
        <x:v>149</x:v>
      </x:c>
      <x:c r="J13" s="155" t="n">
        <x:v>60</x:v>
      </x:c>
      <x:c r="K13" s="156" t="n">
        <x:f>I13-J13</x:f>
        <x:v>89</x:v>
      </x:c>
      <x:c r="L13" s="157" t="n">
        <x:f>IFERROR(K13/I13,0)</x:f>
        <x:v>0.5973154362416108</x:v>
      </x:c>
      <x:c r="M13" s="156" t="n">
        <x:f>I13-J13-(I13*'Executive Summary'!$E$6+'Executive Summary'!$E$7)-(I13*'Executive Summary'!$E$8)</x:f>
        <x:v>76.929</x:v>
      </x:c>
      <x:c r="N13" s="157" t="n">
        <x:f>IFERROR(M13/I13,0)</x:f>
        <x:v>0.5163020134228188</x:v>
      </x:c>
      <x:c r="O13" s="158" t="n">
        <x:v>5</x:v>
      </x:c>
      <x:c r="P13" s="158" t="n">
        <x:v>4</x:v>
      </x:c>
      <x:c r="Q13" s="158" t="n">
        <x:v>2</x:v>
      </x:c>
      <x:c r="R13" s="158" t="n">
        <x:v>3</x:v>
      </x:c>
      <x:c r="S13" s="158" t="n">
        <x:v>1</x:v>
      </x:c>
      <x:c r="T13" s="159" t="n">
        <x:f>O13*'Executive Summary'!$E$11+P13*'Executive Summary'!$E$12+Q13*'Executive Summary'!$E$13+R13*'Executive Summary'!$E$14+S13*'Executive Summary'!$E$15</x:f>
        <x:v>3.2499999999999996</x:v>
      </x:c>
      <x:c r="U13" s="154" t="str">
        <x:v>https://seller.alibaba.com/blogs/2026/southeast-asia/sports-fitness/yoga-pilates-europe-opportunity-alibaba</x:v>
      </x:c>
      <x:c r="V13" s="160" t="str"/>
      <x:c r="W13" s="160" t="str">
        <x:v>Not Started</x:v>
      </x:c>
    </x:row>
    <x:row r="14" ht="88" customHeight="1">
      <x:c r="A14" s="152" t="n">
        <x:f>RANK.EQ(T14,$T$5:$T$14,0)</x:f>
        <x:v>10</x:v>
      </x:c>
      <x:c r="B14" s="153" t="str">
        <x:f>IF(S14&lt;='Executive Summary'!$E$19,"Avoid",IF(T14&gt;='Executive Summary'!$E$16,"Launch",IF(T14&gt;='Executive Summary'!$E$17,"Pilot",IF(T14&gt;='Executive Summary'!$E$18,"Watch","Avoid"))))</x:f>
        <x:v>Avoid</x:v>
      </x:c>
      <x:c r="C14" s="154" t="str">
        <x:v>Adjustable Dumbbell Pair</x:v>
      </x:c>
      <x:c r="D14" s="154" t="str">
        <x:v>adjustable dumbbell pair compact home gym</x:v>
      </x:c>
      <x:c r="E14" s="154" t="str">
        <x:v>Alibaba platform reports high buyer intent for adjustable dumbbells, but locking quality and freight are major risks.</x:v>
      </x:c>
      <x:c r="F14" s="154" t="str">
        <x:v>Serious home-strength customers</x:v>
      </x:c>
      <x:c r="G14" s="154" t="str">
        <x:v>Positive locking mechanism; floor-safe finish; compact cradle; clear increment labeling</x:v>
      </x:c>
      <x:c r="H14" s="154" t="str">
        <x:v>Independent cycle/drop testing; lock-failure history; delivered freight; damage packaging; warranty and replacement-parts support</x:v>
      </x:c>
      <x:c r="I14" s="155" t="n">
        <x:v>329</x:v>
      </x:c>
      <x:c r="J14" s="155" t="n">
        <x:v>160</x:v>
      </x:c>
      <x:c r="K14" s="156" t="n">
        <x:f>I14-J14</x:f>
        <x:v>169</x:v>
      </x:c>
      <x:c r="L14" s="157" t="n">
        <x:f>IFERROR(K14/I14,0)</x:f>
        <x:v>0.513677811550152</x:v>
      </x:c>
      <x:c r="M14" s="156" t="n">
        <x:f>I14-J14-(I14*'Executive Summary'!$E$6+'Executive Summary'!$E$7)-(I14*'Executive Summary'!$E$8)</x:f>
        <x:v>142.709</x:v>
      </x:c>
      <x:c r="N14" s="157" t="n">
        <x:f>IFERROR(M14/I14,0)</x:f>
        <x:v>0.4337659574468085</x:v>
      </x:c>
      <x:c r="O14" s="158" t="n">
        <x:v>4</x:v>
      </x:c>
      <x:c r="P14" s="158" t="n">
        <x:v>3</x:v>
      </x:c>
      <x:c r="Q14" s="158" t="n">
        <x:v>1</x:v>
      </x:c>
      <x:c r="R14" s="158" t="n">
        <x:v>2</x:v>
      </x:c>
      <x:c r="S14" s="158" t="n">
        <x:v>1</x:v>
      </x:c>
      <x:c r="T14" s="159" t="n">
        <x:f>O14*'Executive Summary'!$E$11+P14*'Executive Summary'!$E$12+Q14*'Executive Summary'!$E$13+R14*'Executive Summary'!$E$14+S14*'Executive Summary'!$E$15</x:f>
        <x:v>2.4</x:v>
      </x:c>
      <x:c r="U14" s="154" t="str">
        <x:v>https://seller.alibaba.com/blogs/2026/southeast-asia/fitness-equipment/southeast-asian-suppliers-global-strength-training-demand-alibaba</x:v>
      </x:c>
      <x:c r="V14" s="160" t="str"/>
      <x:c r="W14" s="160" t="str">
        <x:v>Not Started</x:v>
      </x:c>
    </x:row>
  </x:sheetData>
  <x:mergeCells>
    <x:mergeCell ref="A1:W2"/>
    <x:mergeCell ref="A3:W3"/>
  </x:mergeCells>
  <x:conditionalFormatting sqref="B5:B14">
    <x:cfRule type="containsText" dxfId="1" priority="1" operator="containsText" text="Launch"/>
    <x:cfRule type="containsText" dxfId="2" priority="2" operator="containsText" text="Pilot"/>
    <x:cfRule type="containsText" dxfId="3" priority="3" operator="containsText" text="Watch"/>
    <x:cfRule type="containsText" dxfId="4" priority="4" operator="containsText" text="Avoid"/>
  </x:conditionalFormatting>
  <x:conditionalFormatting sqref="T5:T14">
    <x:cfRule type="colorScale" priority="5">
      <x:colorScale>
        <x:cfvo type="min"/>
        <x:cfvo type="percentile" val="50"/>
        <x:cfvo type="max"/>
        <x:color rgb="FFF3D9D5"/>
        <x:color rgb="FFFFF2C7"/>
        <x:color rgb="FFDDE7D8"/>
      </x:colorScale>
    </x:cfRule>
  </x:conditionalFormatting>
  <x:dataValidations count="1">
    <x:dataValidation type="list" sqref="W5:W14">
      <x:formula1>"Not Started,Ordered,Passed,Failed"</x:formula1>
    </x:dataValidation>
  </x:dataValidations>
  <x:pageMargins left="0.7" right="0.7" top="0.75" bottom="0.75" header="0.3" footer="0.3"/>
  <x:tableParts count="1">
    <x:tablePart xmlns:r="http://schemas.openxmlformats.org/officeDocument/2006/relationships" r:id="R4959817d3feb491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8" hidden="0" customWidth="1"/>
    <x:col min="2" max="2" width="30" hidden="0" customWidth="1"/>
    <x:col min="3" max="3" width="55" hidden="0" customWidth="1"/>
    <x:col min="4" max="4" width="14" hidden="0" customWidth="1"/>
    <x:col min="5" max="5" width="18" hidden="0" customWidth="1"/>
    <x:col min="6" max="6" width="24" hidden="0" customWidth="1"/>
    <x:col min="7" max="7" width="34" hidden="0" customWidth="1"/>
    <x:col min="8" max="8" width="20" hidden="0" customWidth="1"/>
    <x:col min="9" max="9" width="12" hidden="0" customWidth="1"/>
    <x:col min="10" max="10" width="16" hidden="0" customWidth="1"/>
    <x:col min="11" max="11" width="14" hidden="0" customWidth="1"/>
    <x:col min="12" max="12" width="16" hidden="0" customWidth="1"/>
    <x:col min="13" max="13" width="18" hidden="0" customWidth="1"/>
    <x:col min="14" max="14" width="12" hidden="0" customWidth="1"/>
    <x:col min="15" max="15" width="16" hidden="0" customWidth="1"/>
    <x:col min="16" max="16" width="14" hidden="0" customWidth="1"/>
    <x:col min="17" max="17" width="12" hidden="0" customWidth="1"/>
    <x:col min="18" max="18" width="16" hidden="0" customWidth="1"/>
    <x:col min="19" max="19" width="16" hidden="0" customWidth="1"/>
    <x:col min="20" max="20" width="25" hidden="0" customWidth="1"/>
    <x:col min="21" max="21" width="20" hidden="0" customWidth="1"/>
    <x:col min="22" max="22" width="18" hidden="0" customWidth="1"/>
    <x:col min="23" max="23" width="16" hidden="0" customWidth="1"/>
    <x:col min="24" max="24" width="20" hidden="0" customWidth="1"/>
    <x:col min="25" max="25" width="24" hidden="0" customWidth="1"/>
    <x:col min="26" max="26" width="14" hidden="0" customWidth="1"/>
    <x:col min="27" max="27" width="40" hidden="0" customWidth="1"/>
    <x:col min="28" max="28" width="35" hidden="0" customWidth="1"/>
    <x:col min="29" max="29" width="55" hidden="0" customWidth="1"/>
    <x:col min="30" max="30" width="24" hidden="0" customWidth="1"/>
  </x:cols>
  <x:sheetData>
    <x:row r="1" ht="54" customHeight="1">
      <x:c r="A1" s="93" t="str">
        <x:v>URL handle</x:v>
      </x:c>
      <x:c r="B1" s="93" t="str">
        <x:v>Title</x:v>
      </x:c>
      <x:c r="C1" s="93" t="str">
        <x:v>Description</x:v>
      </x:c>
      <x:c r="D1" s="93" t="str">
        <x:v>Vendor</x:v>
      </x:c>
      <x:c r="E1" s="93" t="str">
        <x:v>Product category</x:v>
      </x:c>
      <x:c r="F1" s="93" t="str">
        <x:v>Type</x:v>
      </x:c>
      <x:c r="G1" s="93" t="str">
        <x:v>Tags</x:v>
      </x:c>
      <x:c r="H1" s="93" t="str">
        <x:v>Published on online store</x:v>
      </x:c>
      <x:c r="I1" s="93" t="str">
        <x:v>Status</x:v>
      </x:c>
      <x:c r="J1" s="93" t="str">
        <x:v>SKU</x:v>
      </x:c>
      <x:c r="K1" s="93" t="str">
        <x:v>Barcode</x:v>
      </x:c>
      <x:c r="L1" s="93" t="str">
        <x:v>Option1 name</x:v>
      </x:c>
      <x:c r="M1" s="93" t="str">
        <x:v>Option1 value</x:v>
      </x:c>
      <x:c r="N1" s="93" t="str">
        <x:v>Price</x:v>
      </x:c>
      <x:c r="O1" s="93" t="str">
        <x:v>Compare-at price</x:v>
      </x:c>
      <x:c r="P1" s="93" t="str">
        <x:v>Cost per item</x:v>
      </x:c>
      <x:c r="Q1" s="93" t="str">
        <x:v>Charge tax</x:v>
      </x:c>
      <x:c r="R1" s="93" t="str">
        <x:v>Inventory tracker</x:v>
      </x:c>
      <x:c r="S1" s="93" t="str">
        <x:v>Inventory quantity</x:v>
      </x:c>
      <x:c r="T1" s="93" t="str">
        <x:v>Continue selling when out of stock</x:v>
      </x:c>
      <x:c r="U1" s="93" t="str">
        <x:v>Weight value (grams)</x:v>
      </x:c>
      <x:c r="V1" s="93" t="str">
        <x:v>Weight unit for display</x:v>
      </x:c>
      <x:c r="W1" s="93" t="str">
        <x:v>Requires shipping</x:v>
      </x:c>
      <x:c r="X1" s="93" t="str">
        <x:v>Fulfillment service</x:v>
      </x:c>
      <x:c r="Y1" s="93" t="str">
        <x:v>Product image URL</x:v>
      </x:c>
      <x:c r="Z1" s="93" t="str">
        <x:v>Image position</x:v>
      </x:c>
      <x:c r="AA1" s="93" t="str">
        <x:v>Image alt text</x:v>
      </x:c>
      <x:c r="AB1" s="93" t="str">
        <x:v>SEO title</x:v>
      </x:c>
      <x:c r="AC1" s="93" t="str">
        <x:v>SEO description</x:v>
      </x:c>
      <x:c r="AD1" s="93" t="str">
        <x:v>Collection</x:v>
      </x:c>
    </x:row>
    <x:row r="2" ht="72" customHeight="1">
      <x:c r="A2" s="153" t="str">
        <x:v>release-cork-mobility-duo</x:v>
      </x:c>
      <x:c r="B2" s="153" t="str">
        <x:v>Release Cork Mobility Duo</x:v>
      </x:c>
      <x:c r="C2" s="154" t="str">
        <x:v>A compact natural-cork ball and peanut set for everyday mobility and post-session release. Firm, easy to store, and designed for controlled pressure rather than medical treatment.</x:v>
      </x:c>
      <x:c r="D2" s="153" t="str">
        <x:v>KINROW</x:v>
      </x:c>
      <x:c r="E2" s="153" t="str"/>
      <x:c r="F2" s="153" t="str">
        <x:v>Recovery Tools</x:v>
      </x:c>
      <x:c r="G2" s="154" t="str">
        <x:v>recovery,mobility,compact,cork,home-fitness</x:v>
      </x:c>
      <x:c r="H2" s="163" t="b">
        <x:v>0</x:v>
      </x:c>
      <x:c r="I2" s="153" t="str">
        <x:v>draft</x:v>
      </x:c>
      <x:c r="J2" s="153" t="str">
        <x:v>KIN-REL-001</x:v>
      </x:c>
      <x:c r="K2" s="153" t="str"/>
      <x:c r="L2" s="153" t="str">
        <x:v>Title</x:v>
      </x:c>
      <x:c r="M2" s="153" t="str">
        <x:v>Default Title</x:v>
      </x:c>
      <x:c r="N2" s="156" t="n">
        <x:f>'Product Shortlist'!I5</x:f>
        <x:v>34</x:v>
      </x:c>
      <x:c r="O2" s="156" t="str"/>
      <x:c r="P2" s="156" t="n">
        <x:f>'Product Shortlist'!J5</x:f>
        <x:v>9</x:v>
      </x:c>
      <x:c r="Q2" s="163" t="b">
        <x:v>1</x:v>
      </x:c>
      <x:c r="R2" s="153" t="str"/>
      <x:c r="S2" s="152" t="n">
        <x:v>0</x:v>
      </x:c>
      <x:c r="T2" s="153" t="str">
        <x:v>deny</x:v>
      </x:c>
      <x:c r="U2" s="152" t="n">
        <x:v>300</x:v>
      </x:c>
      <x:c r="V2" s="153" t="str">
        <x:v>g</x:v>
      </x:c>
      <x:c r="W2" s="163" t="b">
        <x:v>1</x:v>
      </x:c>
      <x:c r="X2" s="153" t="str">
        <x:v>manual</x:v>
      </x:c>
      <x:c r="Y2" s="153" t="str"/>
      <x:c r="Z2" s="153" t="str"/>
      <x:c r="AA2" s="154" t="str">
        <x:v>Natural cork massage ball and peanut mobility tool set</x:v>
      </x:c>
      <x:c r="AB2" s="154" t="str">
        <x:v>Release Cork Mobility Duo | KINROW</x:v>
      </x:c>
      <x:c r="AC2" s="154" t="str">
        <x:v>Compact cork mobility tools for controlled release work at home or while traveling.</x:v>
      </x:c>
      <x:c r="AD2" s="153" t="str">
        <x:v>KINROW Essentials</x:v>
      </x:c>
    </x:row>
    <x:row r="3" ht="72" customHeight="1">
      <x:c r="A3" s="153" t="str">
        <x:v>form-fabric-loop-set</x:v>
      </x:c>
      <x:c r="B3" s="153" t="str">
        <x:v>Form Fabric Loop Set</x:v>
      </x:c>
      <x:c r="C3" s="154" t="str">
        <x:v>Three woven resistance loops with clearly labeled levels for warm-ups, controlled strength work, and short home sessions. Includes a compact storage pouch.</x:v>
      </x:c>
      <x:c r="D3" s="153" t="str">
        <x:v>KINROW</x:v>
      </x:c>
      <x:c r="E3" s="153" t="str"/>
      <x:c r="F3" s="153" t="str">
        <x:v>Resistance Bands</x:v>
      </x:c>
      <x:c r="G3" s="154" t="str">
        <x:v>strength,resistance-bands,fabric,compact,home-fitness</x:v>
      </x:c>
      <x:c r="H3" s="163" t="b">
        <x:v>0</x:v>
      </x:c>
      <x:c r="I3" s="153" t="str">
        <x:v>draft</x:v>
      </x:c>
      <x:c r="J3" s="153" t="str">
        <x:v>KIN-FRM-001</x:v>
      </x:c>
      <x:c r="K3" s="153" t="str"/>
      <x:c r="L3" s="153" t="str">
        <x:v>Title</x:v>
      </x:c>
      <x:c r="M3" s="153" t="str">
        <x:v>Default Title</x:v>
      </x:c>
      <x:c r="N3" s="156" t="n">
        <x:f>'Product Shortlist'!I6</x:f>
        <x:v>39</x:v>
      </x:c>
      <x:c r="O3" s="156" t="str"/>
      <x:c r="P3" s="156" t="n">
        <x:f>'Product Shortlist'!J6</x:f>
        <x:v>11</x:v>
      </x:c>
      <x:c r="Q3" s="163" t="b">
        <x:v>1</x:v>
      </x:c>
      <x:c r="R3" s="153" t="str"/>
      <x:c r="S3" s="152" t="n">
        <x:v>0</x:v>
      </x:c>
      <x:c r="T3" s="153" t="str">
        <x:v>deny</x:v>
      </x:c>
      <x:c r="U3" s="152" t="n">
        <x:v>450</x:v>
      </x:c>
      <x:c r="V3" s="153" t="str">
        <x:v>g</x:v>
      </x:c>
      <x:c r="W3" s="163" t="b">
        <x:v>1</x:v>
      </x:c>
      <x:c r="X3" s="153" t="str">
        <x:v>manual</x:v>
      </x:c>
      <x:c r="Y3" s="153" t="str"/>
      <x:c r="Z3" s="153" t="str"/>
      <x:c r="AA3" s="154" t="str">
        <x:v>Three neutral fabric resistance loop bands with storage pouch</x:v>
      </x:c>
      <x:c r="AB3" s="154" t="str">
        <x:v>Form Fabric Loop Set | KINROW</x:v>
      </x:c>
      <x:c r="AC3" s="154" t="str">
        <x:v>Three non-slip fabric resistance loops for compact strength and mobility sessions.</x:v>
      </x:c>
      <x:c r="AD3" s="153" t="str">
        <x:v>KINROW Essentials</x:v>
      </x:c>
    </x:row>
    <x:row r="4" ht="72" customHeight="1">
      <x:c r="A4" s="153" t="str">
        <x:v>halo-pilates-starter-kit</x:v>
      </x:c>
      <x:c r="B4" s="153" t="str">
        <x:v>Halo Pilates Starter Kit</x:v>
      </x:c>
      <x:c r="C4" s="154" t="str">
        <x:v>A compact Pilates accessory kit with a padded ring, mini ball, dual-surface sliders, and storage pouch for controlled core and mobility sessions.</x:v>
      </x:c>
      <x:c r="D4" s="153" t="str">
        <x:v>KINROW</x:v>
      </x:c>
      <x:c r="E4" s="153" t="str"/>
      <x:c r="F4" s="153" t="str">
        <x:v>Pilates Accessories</x:v>
      </x:c>
      <x:c r="G4" s="154" t="str">
        <x:v>pilates,core,mobility,compact,starter-kit</x:v>
      </x:c>
      <x:c r="H4" s="163" t="b">
        <x:v>0</x:v>
      </x:c>
      <x:c r="I4" s="153" t="str">
        <x:v>draft</x:v>
      </x:c>
      <x:c r="J4" s="153" t="str">
        <x:v>KIN-HAL-001</x:v>
      </x:c>
      <x:c r="K4" s="153" t="str"/>
      <x:c r="L4" s="153" t="str">
        <x:v>Title</x:v>
      </x:c>
      <x:c r="M4" s="153" t="str">
        <x:v>Default Title</x:v>
      </x:c>
      <x:c r="N4" s="156" t="n">
        <x:f>'Product Shortlist'!I7</x:f>
        <x:v>49</x:v>
      </x:c>
      <x:c r="O4" s="156" t="str"/>
      <x:c r="P4" s="156" t="n">
        <x:f>'Product Shortlist'!J7</x:f>
        <x:v>15</x:v>
      </x:c>
      <x:c r="Q4" s="163" t="b">
        <x:v>1</x:v>
      </x:c>
      <x:c r="R4" s="153" t="str"/>
      <x:c r="S4" s="152" t="n">
        <x:v>0</x:v>
      </x:c>
      <x:c r="T4" s="153" t="str">
        <x:v>deny</x:v>
      </x:c>
      <x:c r="U4" s="152" t="n">
        <x:v>1200</x:v>
      </x:c>
      <x:c r="V4" s="153" t="str">
        <x:v>g</x:v>
      </x:c>
      <x:c r="W4" s="163" t="b">
        <x:v>1</x:v>
      </x:c>
      <x:c r="X4" s="153" t="str">
        <x:v>manual</x:v>
      </x:c>
      <x:c r="Y4" s="153" t="str"/>
      <x:c r="Z4" s="153" t="str"/>
      <x:c r="AA4" s="154" t="str">
        <x:v>Pilates ring mini ball and core slider starter kit</x:v>
      </x:c>
      <x:c r="AB4" s="154" t="str">
        <x:v>Halo Pilates Starter Kit | KINROW</x:v>
      </x:c>
      <x:c r="AC4" s="154" t="str">
        <x:v>A compact four-piece Pilates kit for controlled core, mobility, and alignment work.</x:v>
      </x:c>
      <x:c r="AD4" s="153" t="str">
        <x:v>KINROW Essentials</x:v>
      </x:c>
    </x:row>
    <x:row r="5" ht="72" customHeight="1">
      <x:c r="A5" s="153" t="str">
        <x:v>arc-multi-loop-stretch-strap</x:v>
      </x:c>
      <x:c r="B5" s="153" t="str">
        <x:v>Arc Multi-Loop Stretch Strap</x:v>
      </x:c>
      <x:c r="C5" s="154" t="str">
        <x:v>A soft woven strap with numbered loops for repeatable mobility and stretching positions. Intended for floor-based stretching only, not suspension training.</x:v>
      </x:c>
      <x:c r="D5" s="153" t="str">
        <x:v>KINROW</x:v>
      </x:c>
      <x:c r="E5" s="153" t="str"/>
      <x:c r="F5" s="153" t="str">
        <x:v>Stretching Accessories</x:v>
      </x:c>
      <x:c r="G5" s="154" t="str">
        <x:v>mobility,stretching,pilates,yoga,compact</x:v>
      </x:c>
      <x:c r="H5" s="163" t="b">
        <x:v>0</x:v>
      </x:c>
      <x:c r="I5" s="153" t="str">
        <x:v>draft</x:v>
      </x:c>
      <x:c r="J5" s="153" t="str">
        <x:v>KIN-ARC-001</x:v>
      </x:c>
      <x:c r="K5" s="153" t="str"/>
      <x:c r="L5" s="153" t="str">
        <x:v>Title</x:v>
      </x:c>
      <x:c r="M5" s="153" t="str">
        <x:v>Default Title</x:v>
      </x:c>
      <x:c r="N5" s="156" t="n">
        <x:f>'Product Shortlist'!I8</x:f>
        <x:v>29</x:v>
      </x:c>
      <x:c r="O5" s="156" t="str"/>
      <x:c r="P5" s="156" t="n">
        <x:f>'Product Shortlist'!J8</x:f>
        <x:v>8</x:v>
      </x:c>
      <x:c r="Q5" s="163" t="b">
        <x:v>1</x:v>
      </x:c>
      <x:c r="R5" s="153" t="str"/>
      <x:c r="S5" s="152" t="n">
        <x:v>0</x:v>
      </x:c>
      <x:c r="T5" s="153" t="str">
        <x:v>deny</x:v>
      </x:c>
      <x:c r="U5" s="152" t="n">
        <x:v>300</x:v>
      </x:c>
      <x:c r="V5" s="153" t="str">
        <x:v>g</x:v>
      </x:c>
      <x:c r="W5" s="163" t="b">
        <x:v>1</x:v>
      </x:c>
      <x:c r="X5" s="153" t="str">
        <x:v>manual</x:v>
      </x:c>
      <x:c r="Y5" s="153" t="str"/>
      <x:c r="Z5" s="153" t="str"/>
      <x:c r="AA5" s="154" t="str">
        <x:v>Neutral woven multi-loop stretch strap</x:v>
      </x:c>
      <x:c r="AB5" s="154" t="str">
        <x:v>Arc Multi-Loop Stretch Strap | KINROW</x:v>
      </x:c>
      <x:c r="AC5" s="154" t="str">
        <x:v>A compact numbered-loop strap for repeatable mobility and floor-based stretching.</x:v>
      </x:c>
      <x:c r="AD5" s="153" t="str">
        <x:v>KINROW Essentials</x:v>
      </x:c>
    </x:row>
    <x:row r="6" ht="72" customHeight="1">
      <x:c r="A6" s="153" t="str">
        <x:v>quiet-core-sliders</x:v>
      </x:c>
      <x:c r="B6" s="153" t="str">
        <x:v>Quiet Core Sliders</x:v>
      </x:c>
      <x:c r="C6" s="154" t="str">
        <x:v>A low-profile pair of dual-surface sliders designed for controlled core work on carpet or hard floors. Compact enough to keep in a drawer or travel bag.</x:v>
      </x:c>
      <x:c r="D6" s="153" t="str">
        <x:v>KINROW</x:v>
      </x:c>
      <x:c r="E6" s="153" t="str"/>
      <x:c r="F6" s="153" t="str">
        <x:v>Core Training Accessories</x:v>
      </x:c>
      <x:c r="G6" s="154" t="str">
        <x:v>core,pilates,sliders,compact,home-fitness</x:v>
      </x:c>
      <x:c r="H6" s="163" t="b">
        <x:v>0</x:v>
      </x:c>
      <x:c r="I6" s="153" t="str">
        <x:v>draft</x:v>
      </x:c>
      <x:c r="J6" s="153" t="str">
        <x:v>KIN-QCS-001</x:v>
      </x:c>
      <x:c r="K6" s="153" t="str"/>
      <x:c r="L6" s="153" t="str">
        <x:v>Title</x:v>
      </x:c>
      <x:c r="M6" s="153" t="str">
        <x:v>Default Title</x:v>
      </x:c>
      <x:c r="N6" s="156" t="n">
        <x:f>'Product Shortlist'!I9</x:f>
        <x:v>24</x:v>
      </x:c>
      <x:c r="O6" s="156" t="str"/>
      <x:c r="P6" s="156" t="n">
        <x:f>'Product Shortlist'!J9</x:f>
        <x:v>6</x:v>
      </x:c>
      <x:c r="Q6" s="163" t="b">
        <x:v>1</x:v>
      </x:c>
      <x:c r="R6" s="153" t="str"/>
      <x:c r="S6" s="152" t="n">
        <x:v>0</x:v>
      </x:c>
      <x:c r="T6" s="153" t="str">
        <x:v>deny</x:v>
      </x:c>
      <x:c r="U6" s="152" t="n">
        <x:v>250</x:v>
      </x:c>
      <x:c r="V6" s="153" t="str">
        <x:v>g</x:v>
      </x:c>
      <x:c r="W6" s="163" t="b">
        <x:v>1</x:v>
      </x:c>
      <x:c r="X6" s="153" t="str">
        <x:v>manual</x:v>
      </x:c>
      <x:c r="Y6" s="153" t="str"/>
      <x:c r="Z6" s="153" t="str"/>
      <x:c r="AA6" s="154" t="str">
        <x:v>Pair of neutral dual-surface core sliders</x:v>
      </x:c>
      <x:c r="AB6" s="154" t="str">
        <x:v>Quiet Core Sliders | KINROW</x:v>
      </x:c>
      <x:c r="AC6" s="154" t="str">
        <x:v>Dual-surface core sliders for short, controlled home workouts on carpet or hard floors.</x:v>
      </x:c>
      <x:c r="AD6" s="153" t="str">
        <x:v>KINROW Essentials</x:v>
      </x:c>
    </x:row>
    <x:row r="7" ht="72" customHeight="1">
      <x:c r="A7" s="153" t="str">
        <x:v>studio-grip-socks-two-pack</x:v>
      </x:c>
      <x:c r="B7" s="153" t="str">
        <x:v>Studio Grip Socks — 2 Pack</x:v>
      </x:c>
      <x:c r="C7" s="154" t="str">
        <x:v>Two breathable grip-sock pairs for Pilates, barre, and low-impact studio sessions. Final sizing and fabric composition must be confirmed after sampling.</x:v>
      </x:c>
      <x:c r="D7" s="153" t="str">
        <x:v>KINROW</x:v>
      </x:c>
      <x:c r="E7" s="153" t="str"/>
      <x:c r="F7" s="153" t="str">
        <x:v>Pilates Apparel</x:v>
      </x:c>
      <x:c r="G7" s="154" t="str">
        <x:v>pilates,barre,grip-socks,studio,accessories</x:v>
      </x:c>
      <x:c r="H7" s="163" t="b">
        <x:v>0</x:v>
      </x:c>
      <x:c r="I7" s="153" t="str">
        <x:v>draft</x:v>
      </x:c>
      <x:c r="J7" s="153" t="str">
        <x:v>KIN-SGS-001</x:v>
      </x:c>
      <x:c r="K7" s="153" t="str"/>
      <x:c r="L7" s="153" t="str">
        <x:v>Title</x:v>
      </x:c>
      <x:c r="M7" s="153" t="str">
        <x:v>Default Title</x:v>
      </x:c>
      <x:c r="N7" s="156" t="n">
        <x:f>'Product Shortlist'!I10</x:f>
        <x:v>29</x:v>
      </x:c>
      <x:c r="O7" s="156" t="str"/>
      <x:c r="P7" s="156" t="n">
        <x:f>'Product Shortlist'!J10</x:f>
        <x:v>8.5</x:v>
      </x:c>
      <x:c r="Q7" s="163" t="b">
        <x:v>1</x:v>
      </x:c>
      <x:c r="R7" s="153" t="str"/>
      <x:c r="S7" s="152" t="n">
        <x:v>0</x:v>
      </x:c>
      <x:c r="T7" s="153" t="str">
        <x:v>deny</x:v>
      </x:c>
      <x:c r="U7" s="152" t="n">
        <x:v>180</x:v>
      </x:c>
      <x:c r="V7" s="153" t="str">
        <x:v>g</x:v>
      </x:c>
      <x:c r="W7" s="163" t="b">
        <x:v>1</x:v>
      </x:c>
      <x:c r="X7" s="153" t="str">
        <x:v>manual</x:v>
      </x:c>
      <x:c r="Y7" s="153" t="str"/>
      <x:c r="Z7" s="153" t="str"/>
      <x:c r="AA7" s="154" t="str">
        <x:v>Two pairs of neutral Pilates grip socks</x:v>
      </x:c>
      <x:c r="AB7" s="154" t="str">
        <x:v>Studio Grip Socks — 2 Pack | KINROW</x:v>
      </x:c>
      <x:c r="AC7" s="154" t="str">
        <x:v>Two neutral grip-sock pairs for Pilates, barre, and low-impact studio sessions.</x:v>
      </x:c>
      <x:c r="AD7" s="153" t="str">
        <x:v>KINROW Essentials</x:v>
      </x:c>
    </x:row>
    <x:row r="8" ht="72" customHeight="1">
      <x:c r="A8" s="153" t="str">
        <x:v>anchor-soft-wrist-ankle-weights</x:v>
      </x:c>
      <x:c r="B8" s="153" t="str">
        <x:v>Anchor Soft Wrist &amp; Ankle Weights</x:v>
      </x:c>
      <x:c r="C8" s="154" t="str">
        <x:v>A soft adjustable resistance pair for walking and controlled home movement. Final listing must state the exact weight per item and per pair.</x:v>
      </x:c>
      <x:c r="D8" s="153" t="str">
        <x:v>KINROW</x:v>
      </x:c>
      <x:c r="E8" s="153" t="str"/>
      <x:c r="F8" s="153" t="str">
        <x:v>Wearable Weights</x:v>
      </x:c>
      <x:c r="G8" s="154" t="str">
        <x:v>strength,walking,ankle-weights,wrist-weights,compact</x:v>
      </x:c>
      <x:c r="H8" s="163" t="b">
        <x:v>0</x:v>
      </x:c>
      <x:c r="I8" s="153" t="str">
        <x:v>draft</x:v>
      </x:c>
      <x:c r="J8" s="153" t="str">
        <x:v>KIN-ANC-001</x:v>
      </x:c>
      <x:c r="K8" s="153" t="str"/>
      <x:c r="L8" s="153" t="str">
        <x:v>Title</x:v>
      </x:c>
      <x:c r="M8" s="153" t="str">
        <x:v>Default Title</x:v>
      </x:c>
      <x:c r="N8" s="156" t="n">
        <x:f>'Product Shortlist'!I11</x:f>
        <x:v>59</x:v>
      </x:c>
      <x:c r="O8" s="156" t="str"/>
      <x:c r="P8" s="156" t="n">
        <x:f>'Product Shortlist'!J11</x:f>
        <x:v>20</x:v>
      </x:c>
      <x:c r="Q8" s="163" t="b">
        <x:v>1</x:v>
      </x:c>
      <x:c r="R8" s="153" t="str"/>
      <x:c r="S8" s="152" t="n">
        <x:v>0</x:v>
      </x:c>
      <x:c r="T8" s="153" t="str">
        <x:v>deny</x:v>
      </x:c>
      <x:c r="U8" s="152" t="n">
        <x:v>1100</x:v>
      </x:c>
      <x:c r="V8" s="153" t="str">
        <x:v>g</x:v>
      </x:c>
      <x:c r="W8" s="163" t="b">
        <x:v>1</x:v>
      </x:c>
      <x:c r="X8" s="153" t="str">
        <x:v>manual</x:v>
      </x:c>
      <x:c r="Y8" s="153" t="str"/>
      <x:c r="Z8" s="153" t="str"/>
      <x:c r="AA8" s="154" t="str">
        <x:v>Pair of soft neutral wrist and ankle weights</x:v>
      </x:c>
      <x:c r="AB8" s="154" t="str">
        <x:v>Anchor Wrist &amp; Ankle Weights | KINROW</x:v>
      </x:c>
      <x:c r="AC8" s="154" t="str">
        <x:v>Soft adjustable wearable weights for walking and controlled home strength sessions.</x:v>
      </x:c>
      <x:c r="AD8" s="153" t="str">
        <x:v>KINROW Essentials</x:v>
      </x:c>
    </x:row>
  </x:sheetData>
  <x:pageMargins left="0.7" right="0.7" top="0.75" bottom="0.75" header="0.3" footer="0.3"/>
  <x:tableParts count="1">
    <x:tablePart xmlns:r="http://schemas.openxmlformats.org/officeDocument/2006/relationships" r:id="R2a8f28933fb0432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72" hidden="0" customWidth="1"/>
    <x:col min="3" max="3" width="3" hidden="0" customWidth="1"/>
    <x:col min="4" max="4" width="14" hidden="0" customWidth="1"/>
    <x:col min="5" max="5" width="28" hidden="0" customWidth="1"/>
    <x:col min="6" max="6" width="26" hidden="0" customWidth="1"/>
    <x:col min="7" max="7" width="12" hidden="0" customWidth="1"/>
    <x:col min="8" max="8" width="12" hidden="0" customWidth="1"/>
  </x:cols>
  <x:sheetData>
    <x:row r="1">
      <x:c r="A1" s="132" t="str">
        <x:v>How to Use This Shortlist</x:v>
      </x:c>
      <x:c r="B1" s="132"/>
      <x:c r="C1" s="132"/>
      <x:c r="D1" s="132"/>
      <x:c r="E1" s="132"/>
      <x:c r="F1" s="132"/>
      <x:c r="G1" s="132"/>
      <x:c r="H1" s="132"/>
    </x:row>
    <x:row r="2">
      <x:c r="A2" s="132"/>
      <x:c r="B2" s="132"/>
      <x:c r="C2" s="132"/>
      <x:c r="D2" s="132"/>
      <x:c r="E2" s="132"/>
      <x:c r="F2" s="132"/>
      <x:c r="G2" s="132"/>
      <x:c r="H2" s="132"/>
    </x:row>
    <x:row r="3">
      <x:c r="A3" s="92"/>
      <x:c r="B3" s="92"/>
      <x:c r="C3" s="92"/>
      <x:c r="D3" s="92"/>
      <x:c r="E3" s="92"/>
      <x:c r="F3" s="92"/>
      <x:c r="G3" s="92"/>
      <x:c r="H3" s="92"/>
    </x:row>
    <x:row r="4">
      <x:c r="A4" s="93" t="str">
        <x:v>Step</x:v>
      </x:c>
      <x:c r="B4" s="93" t="str">
        <x:v>Action</x:v>
      </x:c>
      <x:c r="C4" s="92"/>
      <x:c r="D4" s="93" t="str">
        <x:v>Decision</x:v>
      </x:c>
      <x:c r="E4" s="93" t="str">
        <x:v>Meaning</x:v>
      </x:c>
      <x:c r="F4" s="93" t="str">
        <x:v>Action</x:v>
      </x:c>
      <x:c r="G4" s="92"/>
      <x:c r="H4" s="92"/>
    </x:row>
    <x:row r="5" ht="44" customHeight="1">
      <x:c r="A5" s="190" t="n">
        <x:v>1</x:v>
      </x:c>
      <x:c r="B5" s="191" t="str">
        <x:v>In DSers, search each phrase from Product Shortlist and compare at least two suppliers.</x:v>
      </x:c>
      <x:c r="C5" s="92"/>
      <x:c r="D5" s="192" t="str">
        <x:v>Launch</x:v>
      </x:c>
      <x:c r="E5" s="193" t="str">
        <x:v>Strong fit and operating profile</x:v>
      </x:c>
      <x:c r="F5" s="194" t="str">
        <x:v>Source and sample first</x:v>
      </x:c>
      <x:c r="G5" s="92"/>
      <x:c r="H5" s="92"/>
    </x:row>
    <x:row r="6" ht="44" customHeight="1">
      <x:c r="A6" s="195" t="n">
        <x:v>2</x:v>
      </x:c>
      <x:c r="B6" s="196" t="str">
        <x:v>Paste the chosen supplier URL and delivered cost into the yellow shortlist cells; confirm US delivery time and return handling.</x:v>
      </x:c>
      <x:c r="C6" s="92"/>
      <x:c r="D6" s="197" t="str">
        <x:v>Pilot</x:v>
      </x:c>
      <x:c r="E6" s="107" t="str">
        <x:v>Promising with one material risk</x:v>
      </x:c>
      <x:c r="F6" s="198" t="str">
        <x:v>Test a small assortment</x:v>
      </x:c>
      <x:c r="G6" s="92"/>
      <x:c r="H6" s="92"/>
    </x:row>
    <x:row r="7" ht="44" customHeight="1">
      <x:c r="A7" s="195" t="n">
        <x:v>3</x:v>
      </x:c>
      <x:c r="B7" s="196" t="str">
        <x:v>Order samples. Mark Sample status Passed only after the product meets every required specification and supplier check.</x:v>
      </x:c>
      <x:c r="C7" s="92"/>
      <x:c r="D7" s="199" t="str">
        <x:v>Watch</x:v>
      </x:c>
      <x:c r="E7" s="200" t="str">
        <x:v>Demand exists but logistics/quality are weak</x:v>
      </x:c>
      <x:c r="F7" s="201" t="str">
        <x:v>Do not activate yet</x:v>
      </x:c>
      <x:c r="G7" s="92"/>
      <x:c r="H7" s="92"/>
    </x:row>
    <x:row r="8" ht="44" customHeight="1">
      <x:c r="A8" s="195" t="n">
        <x:v>4</x:v>
      </x:c>
      <x:c r="B8" s="196" t="str">
        <x:v>For automated inventory, pricing, tracking, and fulfillment, import the approved product through DSers and map every variant to the supplier.</x:v>
      </x:c>
      <x:c r="C8" s="92"/>
      <x:c r="D8" s="202" t="str">
        <x:v>Avoid</x:v>
      </x:c>
      <x:c r="E8" s="203" t="str">
        <x:v>Safety or economics fail the guardrails</x:v>
      </x:c>
      <x:c r="F8" s="204" t="str">
        <x:v>Exclude from sourcing</x:v>
      </x:c>
      <x:c r="G8" s="92"/>
      <x:c r="H8" s="92"/>
    </x:row>
    <x:row r="9" ht="44" customHeight="1">
      <x:c r="A9" s="195" t="n">
        <x:v>5</x:v>
      </x:c>
      <x:c r="B9" s="196" t="str">
        <x:v>Use the Shopify Draft CSV sheet only for draft copy staging. Saving that sheet as UTF-8 CSV does not create a DSers supplier mapping.</x:v>
      </x:c>
      <x:c r="C9" s="92"/>
      <x:c r="D9" s="92"/>
      <x:c r="E9" s="92"/>
      <x:c r="F9" s="92"/>
      <x:c r="G9" s="92"/>
      <x:c r="H9" s="92"/>
    </x:row>
    <x:row r="10" ht="44" customHeight="1">
      <x:c r="A10" s="195" t="n">
        <x:v>6</x:v>
      </x:c>
      <x:c r="B10" s="196" t="str">
        <x:v>If using the CSV, keep its header as row 1, save only that sheet as comma-separated UTF-8, and import with product status left as draft.</x:v>
      </x:c>
      <x:c r="C10" s="92"/>
      <x:c r="D10" s="205" t="str">
        <x:v>Do not copy supplier trademarks, certification claims, medical claims, or images unless you have permission and evidence. Keep products as drafts until samples, delivered cost, shipping time, and variant mapping are confirmed.</x:v>
      </x:c>
      <x:c r="E10" s="205"/>
      <x:c r="F10" s="205"/>
      <x:c r="G10" s="205"/>
      <x:c r="H10" s="205"/>
    </x:row>
    <x:row r="11" ht="44" customHeight="1">
      <x:c r="A11" s="206" t="n">
        <x:v>7</x:v>
      </x:c>
      <x:c r="B11" s="207" t="str">
        <x:v>After DSers mapping and sample approval, publish the product to Shopify's Headless sales channel, then verify it on the Vercel storefront.</x:v>
      </x:c>
      <x:c r="C11" s="92"/>
      <x:c r="D11" s="205"/>
      <x:c r="E11" s="205"/>
      <x:c r="F11" s="205"/>
      <x:c r="G11" s="205"/>
      <x:c r="H11" s="205"/>
    </x:row>
    <x:row r="12">
      <x:c r="A12" s="92"/>
      <x:c r="B12" s="92"/>
      <x:c r="C12" s="92"/>
      <x:c r="D12" s="205"/>
      <x:c r="E12" s="205"/>
      <x:c r="F12" s="205"/>
      <x:c r="G12" s="205"/>
      <x:c r="H12" s="205"/>
    </x:row>
  </x:sheetData>
  <x:mergeCells>
    <x:mergeCell ref="A1:H2"/>
    <x:mergeCell ref="D10:H1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6" hidden="0" customWidth="1"/>
    <x:col min="2" max="2" width="54" hidden="0" customWidth="1"/>
    <x:col min="3" max="3" width="34" hidden="0" customWidth="1"/>
    <x:col min="4" max="4" width="14" hidden="0" customWidth="1"/>
    <x:col min="5" max="5" width="68" hidden="0" customWidth="1"/>
  </x:cols>
  <x:sheetData>
    <x:row r="1">
      <x:c r="A1" s="132" t="str">
        <x:v>Research Sources &amp; Caveats</x:v>
      </x:c>
      <x:c r="B1" s="132"/>
      <x:c r="C1" s="132"/>
      <x:c r="D1" s="132"/>
      <x:c r="E1" s="132"/>
    </x:row>
    <x:row r="2">
      <x:c r="A2" s="132"/>
      <x:c r="B2" s="132"/>
      <x:c r="C2" s="132"/>
      <x:c r="D2" s="132"/>
      <x:c r="E2" s="132"/>
    </x:row>
    <x:row r="3">
      <x:c r="A3" s="92"/>
      <x:c r="B3" s="92"/>
      <x:c r="C3" s="92"/>
      <x:c r="D3" s="92"/>
      <x:c r="E3" s="92"/>
    </x:row>
    <x:row r="4">
      <x:c r="A4" s="93" t="str">
        <x:v>Source</x:v>
      </x:c>
      <x:c r="B4" s="93" t="str">
        <x:v>Signal used</x:v>
      </x:c>
      <x:c r="C4" s="93" t="str">
        <x:v>Source type</x:v>
      </x:c>
      <x:c r="D4" s="93" t="str">
        <x:v>As of</x:v>
      </x:c>
      <x:c r="E4" s="93" t="str">
        <x:v>URL</x:v>
      </x:c>
    </x:row>
    <x:row r="5" ht="68" customHeight="1">
      <x:c r="A5" s="249" t="str">
        <x:v>Alibaba seller insight: Yoga &amp; Pilates boom</x:v>
      </x:c>
      <x:c r="B5" s="250" t="str">
        <x:v>Pilates accessories +349%; eco Pilates ring searches +215%; home reformer searches +210% with safety concerns</x:v>
      </x:c>
      <x:c r="C5" s="250" t="str">
        <x:v>Platform-reported marketplace analytics</x:v>
      </x:c>
      <x:c r="D5" s="250" t="str">
        <x:v>2026-08-14</x:v>
      </x:c>
      <x:c r="E5" s="251" t="str">
        <x:v>https://seller.alibaba.com/blogs/2026/southeast-asia/sports-fitness/yoga-pilates-europe-opportunity-alibaba</x:v>
      </x:c>
    </x:row>
    <x:row r="6" ht="68" customHeight="1">
      <x:c r="A6" s="252" t="str">
        <x:v>Alibaba seller guide: Resistance bands</x:v>
      </x:c>
      <x:c r="B6" s="253" t="str">
        <x:v>Resistance-band buyer count +48.23% YoY; fabric bands are growing</x:v>
      </x:c>
      <x:c r="C6" s="253" t="str">
        <x:v>Platform-reported marketplace analytics</x:v>
      </x:c>
      <x:c r="D6" s="253" t="str">
        <x:v>2026-08-14</x:v>
      </x:c>
      <x:c r="E6" s="254" t="str">
        <x:v>https://seller.alibaba.com/blogs/2026/southeast-asia/fitness-equipment/resistance-bands-configuration-guide-alibaba-b2b</x:v>
      </x:c>
    </x:row>
    <x:row r="7" ht="68" customHeight="1">
      <x:c r="A7" s="252" t="str">
        <x:v>Alibaba rehabilitation accessories report</x:v>
      </x:c>
      <x:c r="B7" s="253" t="str">
        <x:v>Massage balls +125.6% MoM; highest opportunity rate in the cited category table</x:v>
      </x:c>
      <x:c r="C7" s="253" t="str">
        <x:v>Platform-reported marketplace analytics</x:v>
      </x:c>
      <x:c r="D7" s="253" t="str">
        <x:v>2026-08-14</x:v>
      </x:c>
      <x:c r="E7" s="254" t="str">
        <x:v>https://seller.alibaba.com/blogs/2026/southeast-asia/sports-rehabilitation-accessories/export-strategy-white-paper</x:v>
      </x:c>
    </x:row>
    <x:row r="8" ht="68" customHeight="1">
      <x:c r="A8" s="252" t="str">
        <x:v>Shopify 2026 trend products</x:v>
      </x:c>
      <x:c r="B8" s="253" t="str">
        <x:v>Mini steppers and lightweight Pilates accessories highlighted as compact-store opportunities</x:v>
      </x:c>
      <x:c r="C8" s="253" t="str">
        <x:v>Commerce editorial using trend signals</x:v>
      </x:c>
      <x:c r="D8" s="253" t="str">
        <x:v>2026-08-14</x:v>
      </x:c>
      <x:c r="E8" s="254" t="str">
        <x:v>https://www.shopify.com/de/blog/trend-produkte-verkaufen</x:v>
      </x:c>
    </x:row>
    <x:row r="9" ht="68" customHeight="1">
      <x:c r="A9" s="252" t="str">
        <x:v>Shopify 2026 wellness trends</x:v>
      </x:c>
      <x:c r="B9" s="253" t="str">
        <x:v>At-home fitness and recovery tools remain a growth theme</x:v>
      </x:c>
      <x:c r="C9" s="253" t="str">
        <x:v>Commerce editorial / market synthesis</x:v>
      </x:c>
      <x:c r="D9" s="253" t="str">
        <x:v>2026-08-14</x:v>
      </x:c>
      <x:c r="E9" s="254" t="str">
        <x:v>https://www.shopify.com/enterprise/blog/health-wellness-trends</x:v>
      </x:c>
    </x:row>
    <x:row r="10" ht="68" customHeight="1">
      <x:c r="A10" s="255" t="str">
        <x:v>Shopify product CSV guide</x:v>
      </x:c>
      <x:c r="B10" s="256" t="str">
        <x:v>Current headers, draft status, UTF-8 requirements, and CSV import limitations</x:v>
      </x:c>
      <x:c r="C10" s="256" t="str">
        <x:v>Official product documentation</x:v>
      </x:c>
      <x:c r="D10" s="256" t="str">
        <x:v>2026-08-14</x:v>
      </x:c>
      <x:c r="E10" s="257" t="str">
        <x:v>https://help.shopify.com/en/manual/products/import-export/using-csv</x:v>
      </x:c>
    </x:row>
    <x:row r="11">
      <x:c r="A11" s="92"/>
      <x:c r="B11" s="92"/>
      <x:c r="C11" s="92"/>
      <x:c r="D11" s="92"/>
      <x:c r="E11" s="92"/>
    </x:row>
    <x:row r="12">
      <x:c r="A12" s="258" t="str">
        <x:v>Caveat: marketplace trend articles can be promotional and are not substitutes for supplier-level order history, verified reviews, sample testing, freight quotes, compliance documents, or product-liability review. Treat every quoted growth figure as a directional signal.</x:v>
      </x:c>
      <x:c r="B12" s="259"/>
      <x:c r="C12" s="259"/>
      <x:c r="D12" s="259"/>
      <x:c r="E12" s="260"/>
    </x:row>
    <x:row r="13">
      <x:c r="A13" s="261"/>
      <x:c r="B13" s="262"/>
      <x:c r="C13" s="262"/>
      <x:c r="D13" s="262"/>
      <x:c r="E13" s="263"/>
    </x:row>
    <x:row r="14">
      <x:c r="A14" s="264"/>
      <x:c r="B14" s="265"/>
      <x:c r="C14" s="265"/>
      <x:c r="D14" s="265"/>
      <x:c r="E14" s="266"/>
    </x:row>
  </x:sheetData>
  <x:mergeCells>
    <x:mergeCell ref="A1:E2"/>
    <x:mergeCell ref="A12:E14"/>
  </x:mergeCells>
  <x:pageMargins left="0.7" right="0.7" top="0.75" bottom="0.75" header="0.3" footer="0.3"/>
</x:worksheet>
</file>